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edee\Downloads\"/>
    </mc:Choice>
  </mc:AlternateContent>
  <xr:revisionPtr revIDLastSave="0" documentId="13_ncr:1_{0B4EA6DC-92AE-4025-B6CB-E7C8C708EB7E}" xr6:coauthVersionLast="47" xr6:coauthVersionMax="47" xr10:uidLastSave="{00000000-0000-0000-0000-000000000000}"/>
  <bookViews>
    <workbookView xWindow="-120" yWindow="-120" windowWidth="20730" windowHeight="11160" activeTab="1" xr2:uid="{9FE1E7ED-8EE0-4BCC-9717-BD98E8E9BA0C}"/>
  </bookViews>
  <sheets>
    <sheet name="Raw Data" sheetId="1" r:id="rId1"/>
    <sheet name="Clean Data" sheetId="2" r:id="rId2"/>
    <sheet name="Actuarial Analysis" sheetId="9" r:id="rId3"/>
  </sheets>
  <definedNames>
    <definedName name="_xlnm._FilterDatabase" localSheetId="1" hidden="1">'Clean Data'!$H$1:$H$2141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9" l="1"/>
  <c r="E52" i="9"/>
  <c r="D52" i="9"/>
  <c r="B44" i="9"/>
  <c r="B43" i="9"/>
  <c r="E31" i="9"/>
  <c r="D31" i="9"/>
  <c r="C31" i="9"/>
  <c r="C50" i="9"/>
  <c r="D50" i="9"/>
  <c r="E50" i="9"/>
  <c r="B50" i="9"/>
  <c r="A55" i="9"/>
  <c r="A52" i="9"/>
  <c r="A53" i="9"/>
  <c r="A54" i="9"/>
  <c r="A51" i="9"/>
  <c r="C32" i="9"/>
  <c r="C52" i="9" s="1"/>
  <c r="C33" i="9"/>
  <c r="C53" i="9" s="1"/>
  <c r="C34" i="9"/>
  <c r="C54" i="9" s="1"/>
  <c r="C35" i="9"/>
  <c r="C55" i="9" s="1"/>
  <c r="B32" i="9"/>
  <c r="B52" i="9" s="1"/>
  <c r="B33" i="9"/>
  <c r="B53" i="9" s="1"/>
  <c r="B34" i="9"/>
  <c r="B54" i="9" s="1"/>
  <c r="B35" i="9"/>
  <c r="B55" i="9" s="1"/>
  <c r="B31" i="9"/>
  <c r="B51" i="9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" i="2"/>
  <c r="H2" i="2" s="1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2" i="2"/>
  <c r="H1775" i="2" l="1"/>
  <c r="D51" i="9"/>
  <c r="D34" i="9"/>
  <c r="D54" i="9" s="1"/>
  <c r="C51" i="9"/>
  <c r="D33" i="9"/>
  <c r="D53" i="9" s="1"/>
  <c r="D32" i="9"/>
  <c r="H2127" i="2"/>
  <c r="H2115" i="2"/>
  <c r="H2107" i="2"/>
  <c r="H2099" i="2"/>
  <c r="H2091" i="2"/>
  <c r="H2083" i="2"/>
  <c r="H2071" i="2"/>
  <c r="H2063" i="2"/>
  <c r="H2051" i="2"/>
  <c r="H2043" i="2"/>
  <c r="H2035" i="2"/>
  <c r="H2027" i="2"/>
  <c r="H2019" i="2"/>
  <c r="H2011" i="2"/>
  <c r="H2003" i="2"/>
  <c r="H1995" i="2"/>
  <c r="H1987" i="2"/>
  <c r="H1979" i="2"/>
  <c r="H1971" i="2"/>
  <c r="H1967" i="2"/>
  <c r="H1959" i="2"/>
  <c r="H1951" i="2"/>
  <c r="H1943" i="2"/>
  <c r="H1935" i="2"/>
  <c r="H1927" i="2"/>
  <c r="H1919" i="2"/>
  <c r="H1911" i="2"/>
  <c r="H1903" i="2"/>
  <c r="H1895" i="2"/>
  <c r="H1887" i="2"/>
  <c r="H1883" i="2"/>
  <c r="H1875" i="2"/>
  <c r="H1867" i="2"/>
  <c r="H1859" i="2"/>
  <c r="H1851" i="2"/>
  <c r="H1843" i="2"/>
  <c r="H1831" i="2"/>
  <c r="H1819" i="2"/>
  <c r="H1795" i="2"/>
  <c r="H1779" i="2"/>
  <c r="H2131" i="2"/>
  <c r="H2123" i="2"/>
  <c r="H2111" i="2"/>
  <c r="H2103" i="2"/>
  <c r="H2095" i="2"/>
  <c r="H2087" i="2"/>
  <c r="H2079" i="2"/>
  <c r="H2067" i="2"/>
  <c r="H2059" i="2"/>
  <c r="H2055" i="2"/>
  <c r="H2047" i="2"/>
  <c r="H2039" i="2"/>
  <c r="H2031" i="2"/>
  <c r="H2023" i="2"/>
  <c r="H2015" i="2"/>
  <c r="H2007" i="2"/>
  <c r="H1999" i="2"/>
  <c r="H1991" i="2"/>
  <c r="H1983" i="2"/>
  <c r="H1975" i="2"/>
  <c r="H1963" i="2"/>
  <c r="H1955" i="2"/>
  <c r="H1947" i="2"/>
  <c r="H1939" i="2"/>
  <c r="H1931" i="2"/>
  <c r="H1923" i="2"/>
  <c r="H1915" i="2"/>
  <c r="H1907" i="2"/>
  <c r="H1899" i="2"/>
  <c r="H1891" i="2"/>
  <c r="H1879" i="2"/>
  <c r="H1871" i="2"/>
  <c r="H1863" i="2"/>
  <c r="H1855" i="2"/>
  <c r="H1847" i="2"/>
  <c r="H1839" i="2"/>
  <c r="H1827" i="2"/>
  <c r="H1815" i="2"/>
  <c r="H1803" i="2"/>
  <c r="H1787" i="2"/>
  <c r="H2135" i="2"/>
  <c r="H2119" i="2"/>
  <c r="H2075" i="2"/>
  <c r="H1835" i="2"/>
  <c r="H1823" i="2"/>
  <c r="H1811" i="2"/>
  <c r="H1807" i="2"/>
  <c r="H1799" i="2"/>
  <c r="H1791" i="2"/>
  <c r="H1783" i="2"/>
  <c r="H1763" i="2"/>
  <c r="H1751" i="2"/>
  <c r="H1739" i="2"/>
  <c r="H1727" i="2"/>
  <c r="H1715" i="2"/>
  <c r="H1703" i="2"/>
  <c r="H1691" i="2"/>
  <c r="H1675" i="2"/>
  <c r="H1663" i="2"/>
  <c r="H1643" i="2"/>
  <c r="H1623" i="2"/>
  <c r="H1607" i="2"/>
  <c r="H1587" i="2"/>
  <c r="H1567" i="2"/>
  <c r="H1547" i="2"/>
  <c r="H1523" i="2"/>
  <c r="H1507" i="2"/>
  <c r="H1491" i="2"/>
  <c r="H1467" i="2"/>
  <c r="H1451" i="2"/>
  <c r="H1435" i="2"/>
  <c r="H1419" i="2"/>
  <c r="H1399" i="2"/>
  <c r="H1379" i="2"/>
  <c r="H1363" i="2"/>
  <c r="H1347" i="2"/>
  <c r="H1327" i="2"/>
  <c r="H1303" i="2"/>
  <c r="H1287" i="2"/>
  <c r="H1271" i="2"/>
  <c r="H1247" i="2"/>
  <c r="H1227" i="2"/>
  <c r="H1203" i="2"/>
  <c r="H1183" i="2"/>
  <c r="H1159" i="2"/>
  <c r="H1143" i="2"/>
  <c r="H1127" i="2"/>
  <c r="H1099" i="2"/>
  <c r="H1083" i="2"/>
  <c r="H1067" i="2"/>
  <c r="H1055" i="2"/>
  <c r="H1047" i="2"/>
  <c r="H1035" i="2"/>
  <c r="H1031" i="2"/>
  <c r="H1027" i="2"/>
  <c r="H1023" i="2"/>
  <c r="H1019" i="2"/>
  <c r="H1015" i="2"/>
  <c r="H1011" i="2"/>
  <c r="H1007" i="2"/>
  <c r="H1003" i="2"/>
  <c r="H999" i="2"/>
  <c r="H995" i="2"/>
  <c r="H991" i="2"/>
  <c r="H987" i="2"/>
  <c r="H983" i="2"/>
  <c r="H979" i="2"/>
  <c r="H975" i="2"/>
  <c r="H971" i="2"/>
  <c r="H967" i="2"/>
  <c r="H963" i="2"/>
  <c r="H959" i="2"/>
  <c r="H955" i="2"/>
  <c r="H951" i="2"/>
  <c r="H947" i="2"/>
  <c r="H943" i="2"/>
  <c r="H939" i="2"/>
  <c r="H935" i="2"/>
  <c r="H931" i="2"/>
  <c r="H927" i="2"/>
  <c r="H923" i="2"/>
  <c r="H919" i="2"/>
  <c r="H915" i="2"/>
  <c r="H911" i="2"/>
  <c r="H907" i="2"/>
  <c r="H903" i="2"/>
  <c r="H899" i="2"/>
  <c r="H895" i="2"/>
  <c r="H879" i="2"/>
  <c r="H875" i="2"/>
  <c r="H871" i="2"/>
  <c r="H867" i="2"/>
  <c r="H851" i="2"/>
  <c r="H819" i="2"/>
  <c r="H787" i="2"/>
  <c r="H1767" i="2"/>
  <c r="H1759" i="2"/>
  <c r="H1747" i="2"/>
  <c r="H1735" i="2"/>
  <c r="H1723" i="2"/>
  <c r="H1711" i="2"/>
  <c r="H1699" i="2"/>
  <c r="H1687" i="2"/>
  <c r="H1679" i="2"/>
  <c r="H1667" i="2"/>
  <c r="H1651" i="2"/>
  <c r="H1635" i="2"/>
  <c r="H1619" i="2"/>
  <c r="H1603" i="2"/>
  <c r="H1591" i="2"/>
  <c r="H1575" i="2"/>
  <c r="H1559" i="2"/>
  <c r="H1539" i="2"/>
  <c r="H1527" i="2"/>
  <c r="H1511" i="2"/>
  <c r="H1495" i="2"/>
  <c r="H1479" i="2"/>
  <c r="H1463" i="2"/>
  <c r="H1447" i="2"/>
  <c r="H1431" i="2"/>
  <c r="H1415" i="2"/>
  <c r="H1403" i="2"/>
  <c r="H1387" i="2"/>
  <c r="H1367" i="2"/>
  <c r="H1351" i="2"/>
  <c r="H1335" i="2"/>
  <c r="H1319" i="2"/>
  <c r="H1307" i="2"/>
  <c r="H1291" i="2"/>
  <c r="H1283" i="2"/>
  <c r="H1267" i="2"/>
  <c r="H1255" i="2"/>
  <c r="H1239" i="2"/>
  <c r="H1223" i="2"/>
  <c r="H1211" i="2"/>
  <c r="H1195" i="2"/>
  <c r="H1175" i="2"/>
  <c r="H1163" i="2"/>
  <c r="H1147" i="2"/>
  <c r="H1135" i="2"/>
  <c r="H1123" i="2"/>
  <c r="H1111" i="2"/>
  <c r="H1095" i="2"/>
  <c r="H1075" i="2"/>
  <c r="H1051" i="2"/>
  <c r="H891" i="2"/>
  <c r="H1655" i="2"/>
  <c r="H1639" i="2"/>
  <c r="H1627" i="2"/>
  <c r="H1615" i="2"/>
  <c r="H1599" i="2"/>
  <c r="H1583" i="2"/>
  <c r="H1571" i="2"/>
  <c r="H1555" i="2"/>
  <c r="H1543" i="2"/>
  <c r="H1531" i="2"/>
  <c r="H1515" i="2"/>
  <c r="H1499" i="2"/>
  <c r="H1487" i="2"/>
  <c r="H1475" i="2"/>
  <c r="H1459" i="2"/>
  <c r="H1439" i="2"/>
  <c r="H1423" i="2"/>
  <c r="H1407" i="2"/>
  <c r="H1395" i="2"/>
  <c r="H1383" i="2"/>
  <c r="H1371" i="2"/>
  <c r="H1355" i="2"/>
  <c r="H1339" i="2"/>
  <c r="H1323" i="2"/>
  <c r="H1311" i="2"/>
  <c r="H1299" i="2"/>
  <c r="H1279" i="2"/>
  <c r="H1263" i="2"/>
  <c r="H1251" i="2"/>
  <c r="H1235" i="2"/>
  <c r="H1219" i="2"/>
  <c r="H1207" i="2"/>
  <c r="H1191" i="2"/>
  <c r="H1179" i="2"/>
  <c r="H1167" i="2"/>
  <c r="H1151" i="2"/>
  <c r="H1131" i="2"/>
  <c r="H1115" i="2"/>
  <c r="H1103" i="2"/>
  <c r="H1087" i="2"/>
  <c r="H1071" i="2"/>
  <c r="H1059" i="2"/>
  <c r="H1039" i="2"/>
  <c r="H887" i="2"/>
  <c r="H1771" i="2"/>
  <c r="H1755" i="2"/>
  <c r="H1743" i="2"/>
  <c r="H1731" i="2"/>
  <c r="H1719" i="2"/>
  <c r="H1707" i="2"/>
  <c r="H1695" i="2"/>
  <c r="H1683" i="2"/>
  <c r="H1671" i="2"/>
  <c r="H1659" i="2"/>
  <c r="H1647" i="2"/>
  <c r="H1631" i="2"/>
  <c r="H1611" i="2"/>
  <c r="H1595" i="2"/>
  <c r="H1579" i="2"/>
  <c r="H1563" i="2"/>
  <c r="H1551" i="2"/>
  <c r="H1535" i="2"/>
  <c r="H1519" i="2"/>
  <c r="H1503" i="2"/>
  <c r="H1483" i="2"/>
  <c r="H1471" i="2"/>
  <c r="H1455" i="2"/>
  <c r="H1443" i="2"/>
  <c r="H1427" i="2"/>
  <c r="H1411" i="2"/>
  <c r="H1391" i="2"/>
  <c r="H1375" i="2"/>
  <c r="H1359" i="2"/>
  <c r="H1343" i="2"/>
  <c r="H1331" i="2"/>
  <c r="H1315" i="2"/>
  <c r="H1295" i="2"/>
  <c r="H1275" i="2"/>
  <c r="H1259" i="2"/>
  <c r="H1243" i="2"/>
  <c r="H1231" i="2"/>
  <c r="H1215" i="2"/>
  <c r="H1199" i="2"/>
  <c r="H1187" i="2"/>
  <c r="H1171" i="2"/>
  <c r="H1155" i="2"/>
  <c r="H1139" i="2"/>
  <c r="H1119" i="2"/>
  <c r="H1107" i="2"/>
  <c r="H1091" i="2"/>
  <c r="H1079" i="2"/>
  <c r="H1063" i="2"/>
  <c r="H1043" i="2"/>
  <c r="H883" i="2"/>
  <c r="H755" i="2"/>
  <c r="H723" i="2"/>
  <c r="H691" i="2"/>
  <c r="H659" i="2"/>
  <c r="H627" i="2"/>
  <c r="H595" i="2"/>
  <c r="H563" i="2"/>
  <c r="H531" i="2"/>
  <c r="H499" i="2"/>
  <c r="H467" i="2"/>
  <c r="H435" i="2"/>
  <c r="H403" i="2"/>
  <c r="H343" i="2"/>
  <c r="H2133" i="2"/>
  <c r="H2129" i="2"/>
  <c r="H2125" i="2"/>
  <c r="H2121" i="2"/>
  <c r="H2117" i="2"/>
  <c r="H2113" i="2"/>
  <c r="H2109" i="2"/>
  <c r="H2105" i="2"/>
  <c r="H2101" i="2"/>
  <c r="H2097" i="2"/>
  <c r="H2093" i="2"/>
  <c r="H2089" i="2"/>
  <c r="H2085" i="2"/>
  <c r="H2081" i="2"/>
  <c r="H2077" i="2"/>
  <c r="H2073" i="2"/>
  <c r="H2069" i="2"/>
  <c r="H2065" i="2"/>
  <c r="H2061" i="2"/>
  <c r="H2057" i="2"/>
  <c r="H2053" i="2"/>
  <c r="H2049" i="2"/>
  <c r="H2045" i="2"/>
  <c r="H2041" i="2"/>
  <c r="H2037" i="2"/>
  <c r="H2033" i="2"/>
  <c r="H2136" i="2"/>
  <c r="H2132" i="2"/>
  <c r="H2128" i="2"/>
  <c r="H2124" i="2"/>
  <c r="H2120" i="2"/>
  <c r="H2116" i="2"/>
  <c r="H2112" i="2"/>
  <c r="H2108" i="2"/>
  <c r="H2104" i="2"/>
  <c r="H2100" i="2"/>
  <c r="H2096" i="2"/>
  <c r="H2092" i="2"/>
  <c r="H2088" i="2"/>
  <c r="H2084" i="2"/>
  <c r="H2080" i="2"/>
  <c r="H2076" i="2"/>
  <c r="H2072" i="2"/>
  <c r="H2068" i="2"/>
  <c r="H2064" i="2"/>
  <c r="H2060" i="2"/>
  <c r="H2056" i="2"/>
  <c r="H2052" i="2"/>
  <c r="H2048" i="2"/>
  <c r="H2044" i="2"/>
  <c r="H2040" i="2"/>
  <c r="H2036" i="2"/>
  <c r="H2032" i="2"/>
  <c r="H2028" i="2"/>
  <c r="H2024" i="2"/>
  <c r="H2020" i="2"/>
  <c r="H2016" i="2"/>
  <c r="H2012" i="2"/>
  <c r="H2008" i="2"/>
  <c r="H2004" i="2"/>
  <c r="H2000" i="2"/>
  <c r="H1996" i="2"/>
  <c r="H1992" i="2"/>
  <c r="H1988" i="2"/>
  <c r="H1984" i="2"/>
  <c r="H1980" i="2"/>
  <c r="H1976" i="2"/>
  <c r="H1972" i="2"/>
  <c r="H1968" i="2"/>
  <c r="H1964" i="2"/>
  <c r="H1960" i="2"/>
  <c r="H1956" i="2"/>
  <c r="H1952" i="2"/>
  <c r="H1948" i="2"/>
  <c r="H1944" i="2"/>
  <c r="H1940" i="2"/>
  <c r="H1936" i="2"/>
  <c r="H1932" i="2"/>
  <c r="H1928" i="2"/>
  <c r="H1924" i="2"/>
  <c r="H1920" i="2"/>
  <c r="H1916" i="2"/>
  <c r="H1912" i="2"/>
  <c r="H1908" i="2"/>
  <c r="H1904" i="2"/>
  <c r="H1900" i="2"/>
  <c r="H1896" i="2"/>
  <c r="H1892" i="2"/>
  <c r="H1888" i="2"/>
  <c r="H1884" i="2"/>
  <c r="H1880" i="2"/>
  <c r="H1876" i="2"/>
  <c r="H1872" i="2"/>
  <c r="H1868" i="2"/>
  <c r="H1864" i="2"/>
  <c r="H1860" i="2"/>
  <c r="H1856" i="2"/>
  <c r="H1852" i="2"/>
  <c r="H1848" i="2"/>
  <c r="H1844" i="2"/>
  <c r="H1840" i="2"/>
  <c r="H1836" i="2"/>
  <c r="H1832" i="2"/>
  <c r="H1828" i="2"/>
  <c r="H1824" i="2"/>
  <c r="H1820" i="2"/>
  <c r="H1816" i="2"/>
  <c r="H1812" i="2"/>
  <c r="H1808" i="2"/>
  <c r="H1804" i="2"/>
  <c r="H1800" i="2"/>
  <c r="H1796" i="2"/>
  <c r="H1792" i="2"/>
  <c r="H1788" i="2"/>
  <c r="H1784" i="2"/>
  <c r="H1780" i="2"/>
  <c r="H1776" i="2"/>
  <c r="H1772" i="2"/>
  <c r="H1768" i="2"/>
  <c r="H1764" i="2"/>
  <c r="H1760" i="2"/>
  <c r="H1756" i="2"/>
  <c r="H1752" i="2"/>
  <c r="H1748" i="2"/>
  <c r="H1744" i="2"/>
  <c r="H1740" i="2"/>
  <c r="H1736" i="2"/>
  <c r="H1732" i="2"/>
  <c r="H1728" i="2"/>
  <c r="H1724" i="2"/>
  <c r="H1720" i="2"/>
  <c r="H1716" i="2"/>
  <c r="H1712" i="2"/>
  <c r="H1708" i="2"/>
  <c r="H1704" i="2"/>
  <c r="H1700" i="2"/>
  <c r="H1696" i="2"/>
  <c r="H1692" i="2"/>
  <c r="H1688" i="2"/>
  <c r="H1684" i="2"/>
  <c r="H1680" i="2"/>
  <c r="H1676" i="2"/>
  <c r="H1672" i="2"/>
  <c r="H1668" i="2"/>
  <c r="H1664" i="2"/>
  <c r="H1660" i="2"/>
  <c r="H1656" i="2"/>
  <c r="H1652" i="2"/>
  <c r="H1648" i="2"/>
  <c r="H1644" i="2"/>
  <c r="H1640" i="2"/>
  <c r="H1636" i="2"/>
  <c r="H1632" i="2"/>
  <c r="H1628" i="2"/>
  <c r="H1624" i="2"/>
  <c r="H1620" i="2"/>
  <c r="H1616" i="2"/>
  <c r="H1612" i="2"/>
  <c r="H1608" i="2"/>
  <c r="H1604" i="2"/>
  <c r="H1600" i="2"/>
  <c r="H1596" i="2"/>
  <c r="H1592" i="2"/>
  <c r="H1588" i="2"/>
  <c r="H1584" i="2"/>
  <c r="H1580" i="2"/>
  <c r="H1576" i="2"/>
  <c r="H1572" i="2"/>
  <c r="H1568" i="2"/>
  <c r="H1564" i="2"/>
  <c r="H1560" i="2"/>
  <c r="H1556" i="2"/>
  <c r="H1552" i="2"/>
  <c r="H1548" i="2"/>
  <c r="H1544" i="2"/>
  <c r="H1540" i="2"/>
  <c r="H1536" i="2"/>
  <c r="H1532" i="2"/>
  <c r="H1528" i="2"/>
  <c r="H1524" i="2"/>
  <c r="H1520" i="2"/>
  <c r="H1516" i="2"/>
  <c r="H1512" i="2"/>
  <c r="H1508" i="2"/>
  <c r="H1504" i="2"/>
  <c r="H1500" i="2"/>
  <c r="H1496" i="2"/>
  <c r="H1492" i="2"/>
  <c r="H1488" i="2"/>
  <c r="H1484" i="2"/>
  <c r="H1480" i="2"/>
  <c r="H1476" i="2"/>
  <c r="H1472" i="2"/>
  <c r="H1468" i="2"/>
  <c r="H1464" i="2"/>
  <c r="H1460" i="2"/>
  <c r="H1456" i="2"/>
  <c r="H1452" i="2"/>
  <c r="H1448" i="2"/>
  <c r="H1444" i="2"/>
  <c r="H1440" i="2"/>
  <c r="H1436" i="2"/>
  <c r="H1432" i="2"/>
  <c r="H1428" i="2"/>
  <c r="H1424" i="2"/>
  <c r="H1420" i="2"/>
  <c r="H1416" i="2"/>
  <c r="H1412" i="2"/>
  <c r="H1408" i="2"/>
  <c r="H1404" i="2"/>
  <c r="H1400" i="2"/>
  <c r="H1396" i="2"/>
  <c r="H1392" i="2"/>
  <c r="H1388" i="2"/>
  <c r="H1384" i="2"/>
  <c r="H1380" i="2"/>
  <c r="H1376" i="2"/>
  <c r="H1372" i="2"/>
  <c r="H1368" i="2"/>
  <c r="H2134" i="2"/>
  <c r="H2130" i="2"/>
  <c r="H2126" i="2"/>
  <c r="H2122" i="2"/>
  <c r="H2118" i="2"/>
  <c r="H2114" i="2"/>
  <c r="H2110" i="2"/>
  <c r="H2106" i="2"/>
  <c r="H2102" i="2"/>
  <c r="H2098" i="2"/>
  <c r="H2094" i="2"/>
  <c r="H2090" i="2"/>
  <c r="H2086" i="2"/>
  <c r="H2082" i="2"/>
  <c r="H2078" i="2"/>
  <c r="H2074" i="2"/>
  <c r="H2070" i="2"/>
  <c r="H2066" i="2"/>
  <c r="H2062" i="2"/>
  <c r="H2058" i="2"/>
  <c r="H2054" i="2"/>
  <c r="H2050" i="2"/>
  <c r="H2046" i="2"/>
  <c r="H2042" i="2"/>
  <c r="H2038" i="2"/>
  <c r="H2034" i="2"/>
  <c r="H2030" i="2"/>
  <c r="H2026" i="2"/>
  <c r="H2022" i="2"/>
  <c r="H2018" i="2"/>
  <c r="H2014" i="2"/>
  <c r="H2010" i="2"/>
  <c r="H2006" i="2"/>
  <c r="H2002" i="2"/>
  <c r="H1998" i="2"/>
  <c r="H1994" i="2"/>
  <c r="H1990" i="2"/>
  <c r="H1986" i="2"/>
  <c r="H1982" i="2"/>
  <c r="H1978" i="2"/>
  <c r="H1974" i="2"/>
  <c r="H1970" i="2"/>
  <c r="H1966" i="2"/>
  <c r="H1962" i="2"/>
  <c r="H1958" i="2"/>
  <c r="H1954" i="2"/>
  <c r="H1950" i="2"/>
  <c r="H1946" i="2"/>
  <c r="H1942" i="2"/>
  <c r="H1938" i="2"/>
  <c r="H1934" i="2"/>
  <c r="H1930" i="2"/>
  <c r="H1926" i="2"/>
  <c r="H1922" i="2"/>
  <c r="H1918" i="2"/>
  <c r="H1914" i="2"/>
  <c r="H1910" i="2"/>
  <c r="H1906" i="2"/>
  <c r="H1902" i="2"/>
  <c r="H1898" i="2"/>
  <c r="H1894" i="2"/>
  <c r="H1890" i="2"/>
  <c r="H1886" i="2"/>
  <c r="H1882" i="2"/>
  <c r="H1878" i="2"/>
  <c r="H1874" i="2"/>
  <c r="H1870" i="2"/>
  <c r="H1866" i="2"/>
  <c r="H1862" i="2"/>
  <c r="H1858" i="2"/>
  <c r="H1854" i="2"/>
  <c r="H1850" i="2"/>
  <c r="H1846" i="2"/>
  <c r="H1842" i="2"/>
  <c r="H1838" i="2"/>
  <c r="H1834" i="2"/>
  <c r="H1830" i="2"/>
  <c r="H1826" i="2"/>
  <c r="H1822" i="2"/>
  <c r="H1818" i="2"/>
  <c r="H1814" i="2"/>
  <c r="H1810" i="2"/>
  <c r="H1806" i="2"/>
  <c r="H1802" i="2"/>
  <c r="H1798" i="2"/>
  <c r="H1794" i="2"/>
  <c r="H1790" i="2"/>
  <c r="H1786" i="2"/>
  <c r="H1782" i="2"/>
  <c r="H1778" i="2"/>
  <c r="H1774" i="2"/>
  <c r="H1770" i="2"/>
  <c r="H1766" i="2"/>
  <c r="H1762" i="2"/>
  <c r="H1758" i="2"/>
  <c r="H1754" i="2"/>
  <c r="H1750" i="2"/>
  <c r="H1746" i="2"/>
  <c r="H1742" i="2"/>
  <c r="H1738" i="2"/>
  <c r="H1734" i="2"/>
  <c r="H1730" i="2"/>
  <c r="H1726" i="2"/>
  <c r="H1722" i="2"/>
  <c r="H1718" i="2"/>
  <c r="H1714" i="2"/>
  <c r="H1710" i="2"/>
  <c r="H1706" i="2"/>
  <c r="H1702" i="2"/>
  <c r="H1698" i="2"/>
  <c r="H1694" i="2"/>
  <c r="H1690" i="2"/>
  <c r="H1686" i="2"/>
  <c r="H1682" i="2"/>
  <c r="H1678" i="2"/>
  <c r="H1674" i="2"/>
  <c r="H1670" i="2"/>
  <c r="H1666" i="2"/>
  <c r="H1662" i="2"/>
  <c r="H1658" i="2"/>
  <c r="H1654" i="2"/>
  <c r="H1650" i="2"/>
  <c r="H1646" i="2"/>
  <c r="H1642" i="2"/>
  <c r="H1638" i="2"/>
  <c r="H1634" i="2"/>
  <c r="H1630" i="2"/>
  <c r="H1626" i="2"/>
  <c r="H1622" i="2"/>
  <c r="H1618" i="2"/>
  <c r="H1614" i="2"/>
  <c r="H1610" i="2"/>
  <c r="H1606" i="2"/>
  <c r="H1602" i="2"/>
  <c r="H1598" i="2"/>
  <c r="H1594" i="2"/>
  <c r="H1590" i="2"/>
  <c r="H1586" i="2"/>
  <c r="H1582" i="2"/>
  <c r="H1578" i="2"/>
  <c r="H1574" i="2"/>
  <c r="H1570" i="2"/>
  <c r="H1566" i="2"/>
  <c r="H1562" i="2"/>
  <c r="H1558" i="2"/>
  <c r="H1554" i="2"/>
  <c r="H1550" i="2"/>
  <c r="H1546" i="2"/>
  <c r="H1542" i="2"/>
  <c r="H1538" i="2"/>
  <c r="H1534" i="2"/>
  <c r="H1530" i="2"/>
  <c r="H1526" i="2"/>
  <c r="H1522" i="2"/>
  <c r="H1518" i="2"/>
  <c r="H1514" i="2"/>
  <c r="H1510" i="2"/>
  <c r="H1506" i="2"/>
  <c r="H1502" i="2"/>
  <c r="H1498" i="2"/>
  <c r="H1494" i="2"/>
  <c r="H1490" i="2"/>
  <c r="H1486" i="2"/>
  <c r="H1482" i="2"/>
  <c r="H1478" i="2"/>
  <c r="H1474" i="2"/>
  <c r="H1470" i="2"/>
  <c r="H1466" i="2"/>
  <c r="H1462" i="2"/>
  <c r="H1458" i="2"/>
  <c r="H1454" i="2"/>
  <c r="H1450" i="2"/>
  <c r="H1446" i="2"/>
  <c r="H1442" i="2"/>
  <c r="H1438" i="2"/>
  <c r="H1434" i="2"/>
  <c r="H1430" i="2"/>
  <c r="H1426" i="2"/>
  <c r="H1422" i="2"/>
  <c r="H1418" i="2"/>
  <c r="H1414" i="2"/>
  <c r="H1410" i="2"/>
  <c r="H1406" i="2"/>
  <c r="H1402" i="2"/>
  <c r="H1398" i="2"/>
  <c r="H1394" i="2"/>
  <c r="H1390" i="2"/>
  <c r="H1386" i="2"/>
  <c r="H1382" i="2"/>
  <c r="H1378" i="2"/>
  <c r="H1374" i="2"/>
  <c r="H1370" i="2"/>
  <c r="H1366" i="2"/>
  <c r="H1362" i="2"/>
  <c r="H1358" i="2"/>
  <c r="H1354" i="2"/>
  <c r="H1350" i="2"/>
  <c r="H1346" i="2"/>
  <c r="H1342" i="2"/>
  <c r="H1338" i="2"/>
  <c r="H1334" i="2"/>
  <c r="H1330" i="2"/>
  <c r="H1326" i="2"/>
  <c r="H1322" i="2"/>
  <c r="H1318" i="2"/>
  <c r="H1314" i="2"/>
  <c r="H1310" i="2"/>
  <c r="H1306" i="2"/>
  <c r="H1302" i="2"/>
  <c r="H1298" i="2"/>
  <c r="H1294" i="2"/>
  <c r="H1290" i="2"/>
  <c r="H1286" i="2"/>
  <c r="H1282" i="2"/>
  <c r="H1278" i="2"/>
  <c r="H1274" i="2"/>
  <c r="H1270" i="2"/>
  <c r="H1266" i="2"/>
  <c r="H1262" i="2"/>
  <c r="H1258" i="2"/>
  <c r="H1254" i="2"/>
  <c r="H1250" i="2"/>
  <c r="H1246" i="2"/>
  <c r="H1242" i="2"/>
  <c r="H1238" i="2"/>
  <c r="H1234" i="2"/>
  <c r="H1230" i="2"/>
  <c r="H1226" i="2"/>
  <c r="H1222" i="2"/>
  <c r="H1218" i="2"/>
  <c r="H1214" i="2"/>
  <c r="H1210" i="2"/>
  <c r="H1206" i="2"/>
  <c r="H1202" i="2"/>
  <c r="H1198" i="2"/>
  <c r="H1194" i="2"/>
  <c r="H1190" i="2"/>
  <c r="H1186" i="2"/>
  <c r="H1182" i="2"/>
  <c r="H1178" i="2"/>
  <c r="H1174" i="2"/>
  <c r="H1170" i="2"/>
  <c r="H1166" i="2"/>
  <c r="H1162" i="2"/>
  <c r="H1158" i="2"/>
  <c r="H1154" i="2"/>
  <c r="H1150" i="2"/>
  <c r="H1146" i="2"/>
  <c r="H1142" i="2"/>
  <c r="H1138" i="2"/>
  <c r="H1134" i="2"/>
  <c r="H1130" i="2"/>
  <c r="H1126" i="2"/>
  <c r="H1122" i="2"/>
  <c r="H1118" i="2"/>
  <c r="H1114" i="2"/>
  <c r="H1110" i="2"/>
  <c r="H1106" i="2"/>
  <c r="H1102" i="2"/>
  <c r="H1098" i="2"/>
  <c r="H1094" i="2"/>
  <c r="H1090" i="2"/>
  <c r="H1086" i="2"/>
  <c r="H1082" i="2"/>
  <c r="H1078" i="2"/>
  <c r="H1074" i="2"/>
  <c r="H1070" i="2"/>
  <c r="H1066" i="2"/>
  <c r="H1062" i="2"/>
  <c r="H1058" i="2"/>
  <c r="H1054" i="2"/>
  <c r="H1050" i="2"/>
  <c r="H1046" i="2"/>
  <c r="H1042" i="2"/>
  <c r="H1038" i="2"/>
  <c r="H1034" i="2"/>
  <c r="H1030" i="2"/>
  <c r="H1026" i="2"/>
  <c r="H1022" i="2"/>
  <c r="H1018" i="2"/>
  <c r="H1014" i="2"/>
  <c r="H1010" i="2"/>
  <c r="H1006" i="2"/>
  <c r="H1002" i="2"/>
  <c r="H998" i="2"/>
  <c r="H994" i="2"/>
  <c r="H990" i="2"/>
  <c r="H986" i="2"/>
  <c r="H982" i="2"/>
  <c r="H978" i="2"/>
  <c r="H974" i="2"/>
  <c r="H970" i="2"/>
  <c r="H966" i="2"/>
  <c r="H962" i="2"/>
  <c r="H958" i="2"/>
  <c r="H954" i="2"/>
  <c r="H950" i="2"/>
  <c r="H946" i="2"/>
  <c r="H942" i="2"/>
  <c r="H938" i="2"/>
  <c r="H934" i="2"/>
  <c r="H930" i="2"/>
  <c r="H926" i="2"/>
  <c r="H922" i="2"/>
  <c r="H2029" i="2"/>
  <c r="H2025" i="2"/>
  <c r="H2021" i="2"/>
  <c r="H2017" i="2"/>
  <c r="H2013" i="2"/>
  <c r="H2009" i="2"/>
  <c r="H2005" i="2"/>
  <c r="H2001" i="2"/>
  <c r="H1997" i="2"/>
  <c r="H1993" i="2"/>
  <c r="H1989" i="2"/>
  <c r="H1985" i="2"/>
  <c r="H1981" i="2"/>
  <c r="H1977" i="2"/>
  <c r="H1973" i="2"/>
  <c r="H1969" i="2"/>
  <c r="H1965" i="2"/>
  <c r="H1961" i="2"/>
  <c r="H1957" i="2"/>
  <c r="H1953" i="2"/>
  <c r="H1949" i="2"/>
  <c r="H1945" i="2"/>
  <c r="H1941" i="2"/>
  <c r="H1937" i="2"/>
  <c r="H1933" i="2"/>
  <c r="H1929" i="2"/>
  <c r="H1925" i="2"/>
  <c r="H1921" i="2"/>
  <c r="H1917" i="2"/>
  <c r="H1913" i="2"/>
  <c r="H1909" i="2"/>
  <c r="H1905" i="2"/>
  <c r="H1901" i="2"/>
  <c r="H1897" i="2"/>
  <c r="H1893" i="2"/>
  <c r="H1889" i="2"/>
  <c r="H1885" i="2"/>
  <c r="H1881" i="2"/>
  <c r="H1877" i="2"/>
  <c r="H1873" i="2"/>
  <c r="H1869" i="2"/>
  <c r="H1865" i="2"/>
  <c r="H1861" i="2"/>
  <c r="H1857" i="2"/>
  <c r="H1853" i="2"/>
  <c r="H1849" i="2"/>
  <c r="H1845" i="2"/>
  <c r="H1841" i="2"/>
  <c r="H1837" i="2"/>
  <c r="H1833" i="2"/>
  <c r="H1829" i="2"/>
  <c r="H1825" i="2"/>
  <c r="H1821" i="2"/>
  <c r="H1817" i="2"/>
  <c r="H1813" i="2"/>
  <c r="H1809" i="2"/>
  <c r="H1805" i="2"/>
  <c r="H1801" i="2"/>
  <c r="H1797" i="2"/>
  <c r="H1793" i="2"/>
  <c r="H1789" i="2"/>
  <c r="H1785" i="2"/>
  <c r="H1781" i="2"/>
  <c r="H1777" i="2"/>
  <c r="H1773" i="2"/>
  <c r="H1769" i="2"/>
  <c r="H1765" i="2"/>
  <c r="H1761" i="2"/>
  <c r="H1757" i="2"/>
  <c r="H1753" i="2"/>
  <c r="H1749" i="2"/>
  <c r="H1745" i="2"/>
  <c r="H1741" i="2"/>
  <c r="H1737" i="2"/>
  <c r="H1733" i="2"/>
  <c r="H1729" i="2"/>
  <c r="H1725" i="2"/>
  <c r="H1721" i="2"/>
  <c r="H1717" i="2"/>
  <c r="H1713" i="2"/>
  <c r="H1709" i="2"/>
  <c r="H1705" i="2"/>
  <c r="H1701" i="2"/>
  <c r="H1697" i="2"/>
  <c r="H1693" i="2"/>
  <c r="H1689" i="2"/>
  <c r="H1685" i="2"/>
  <c r="H1681" i="2"/>
  <c r="H1677" i="2"/>
  <c r="H1673" i="2"/>
  <c r="H1669" i="2"/>
  <c r="H1665" i="2"/>
  <c r="H1661" i="2"/>
  <c r="H1657" i="2"/>
  <c r="H1653" i="2"/>
  <c r="H1649" i="2"/>
  <c r="H1645" i="2"/>
  <c r="H1641" i="2"/>
  <c r="H1637" i="2"/>
  <c r="H1633" i="2"/>
  <c r="H1629" i="2"/>
  <c r="H1625" i="2"/>
  <c r="H1621" i="2"/>
  <c r="H1617" i="2"/>
  <c r="H1613" i="2"/>
  <c r="H1609" i="2"/>
  <c r="H1605" i="2"/>
  <c r="H1601" i="2"/>
  <c r="H1597" i="2"/>
  <c r="H1593" i="2"/>
  <c r="H1589" i="2"/>
  <c r="H1585" i="2"/>
  <c r="H1581" i="2"/>
  <c r="H1577" i="2"/>
  <c r="H1573" i="2"/>
  <c r="H1569" i="2"/>
  <c r="H1565" i="2"/>
  <c r="H1561" i="2"/>
  <c r="H1557" i="2"/>
  <c r="H1553" i="2"/>
  <c r="H1549" i="2"/>
  <c r="H1545" i="2"/>
  <c r="H1541" i="2"/>
  <c r="H1537" i="2"/>
  <c r="H1533" i="2"/>
  <c r="H1529" i="2"/>
  <c r="H1525" i="2"/>
  <c r="H1521" i="2"/>
  <c r="H1517" i="2"/>
  <c r="H1513" i="2"/>
  <c r="H1509" i="2"/>
  <c r="H1505" i="2"/>
  <c r="H1501" i="2"/>
  <c r="H1497" i="2"/>
  <c r="H1493" i="2"/>
  <c r="H1489" i="2"/>
  <c r="H1485" i="2"/>
  <c r="H1481" i="2"/>
  <c r="H1477" i="2"/>
  <c r="H1473" i="2"/>
  <c r="H1469" i="2"/>
  <c r="H1465" i="2"/>
  <c r="H1461" i="2"/>
  <c r="H1457" i="2"/>
  <c r="H1453" i="2"/>
  <c r="H1449" i="2"/>
  <c r="H1445" i="2"/>
  <c r="H1441" i="2"/>
  <c r="H1437" i="2"/>
  <c r="H1433" i="2"/>
  <c r="H1429" i="2"/>
  <c r="H1425" i="2"/>
  <c r="H1421" i="2"/>
  <c r="H1417" i="2"/>
  <c r="H1413" i="2"/>
  <c r="H1409" i="2"/>
  <c r="H1405" i="2"/>
  <c r="H1401" i="2"/>
  <c r="H1397" i="2"/>
  <c r="H1393" i="2"/>
  <c r="H1389" i="2"/>
  <c r="H1385" i="2"/>
  <c r="H1381" i="2"/>
  <c r="H1377" i="2"/>
  <c r="H1373" i="2"/>
  <c r="H1369" i="2"/>
  <c r="H1365" i="2"/>
  <c r="H1361" i="2"/>
  <c r="H1357" i="2"/>
  <c r="H1353" i="2"/>
  <c r="H1349" i="2"/>
  <c r="H1345" i="2"/>
  <c r="H1341" i="2"/>
  <c r="H1337" i="2"/>
  <c r="H1333" i="2"/>
  <c r="H1329" i="2"/>
  <c r="H1325" i="2"/>
  <c r="H1321" i="2"/>
  <c r="H1317" i="2"/>
  <c r="H1313" i="2"/>
  <c r="H1309" i="2"/>
  <c r="H1305" i="2"/>
  <c r="H1301" i="2"/>
  <c r="H1297" i="2"/>
  <c r="H1293" i="2"/>
  <c r="H1289" i="2"/>
  <c r="H1285" i="2"/>
  <c r="H1281" i="2"/>
  <c r="H1277" i="2"/>
  <c r="H1273" i="2"/>
  <c r="H1269" i="2"/>
  <c r="H1265" i="2"/>
  <c r="H1261" i="2"/>
  <c r="H1257" i="2"/>
  <c r="H1253" i="2"/>
  <c r="H1249" i="2"/>
  <c r="H1245" i="2"/>
  <c r="H1241" i="2"/>
  <c r="H1237" i="2"/>
  <c r="H1233" i="2"/>
  <c r="H1229" i="2"/>
  <c r="H1225" i="2"/>
  <c r="H1221" i="2"/>
  <c r="H1217" i="2"/>
  <c r="H1213" i="2"/>
  <c r="H1209" i="2"/>
  <c r="H1205" i="2"/>
  <c r="H1201" i="2"/>
  <c r="H1197" i="2"/>
  <c r="H1193" i="2"/>
  <c r="H1189" i="2"/>
  <c r="H1185" i="2"/>
  <c r="H1181" i="2"/>
  <c r="H1177" i="2"/>
  <c r="H1173" i="2"/>
  <c r="H1169" i="2"/>
  <c r="H1165" i="2"/>
  <c r="H1161" i="2"/>
  <c r="H1157" i="2"/>
  <c r="H1153" i="2"/>
  <c r="H1149" i="2"/>
  <c r="H1145" i="2"/>
  <c r="H1141" i="2"/>
  <c r="H1137" i="2"/>
  <c r="H1133" i="2"/>
  <c r="H1129" i="2"/>
  <c r="H1125" i="2"/>
  <c r="H1121" i="2"/>
  <c r="H1117" i="2"/>
  <c r="H1113" i="2"/>
  <c r="H1109" i="2"/>
  <c r="H1105" i="2"/>
  <c r="H1101" i="2"/>
  <c r="H1097" i="2"/>
  <c r="H1093" i="2"/>
  <c r="H1089" i="2"/>
  <c r="H1085" i="2"/>
  <c r="H1081" i="2"/>
  <c r="H1077" i="2"/>
  <c r="H1073" i="2"/>
  <c r="H1069" i="2"/>
  <c r="H1065" i="2"/>
  <c r="H1061" i="2"/>
  <c r="H1057" i="2"/>
  <c r="H1053" i="2"/>
  <c r="H1049" i="2"/>
  <c r="H1045" i="2"/>
  <c r="H1041" i="2"/>
  <c r="H1037" i="2"/>
  <c r="H1033" i="2"/>
  <c r="H1029" i="2"/>
  <c r="H1025" i="2"/>
  <c r="H1021" i="2"/>
  <c r="H1017" i="2"/>
  <c r="H1013" i="2"/>
  <c r="H1009" i="2"/>
  <c r="H1005" i="2"/>
  <c r="H1001" i="2"/>
  <c r="H997" i="2"/>
  <c r="H993" i="2"/>
  <c r="H989" i="2"/>
  <c r="H985" i="2"/>
  <c r="H981" i="2"/>
  <c r="H977" i="2"/>
  <c r="H973" i="2"/>
  <c r="H969" i="2"/>
  <c r="H965" i="2"/>
  <c r="H961" i="2"/>
  <c r="H957" i="2"/>
  <c r="H953" i="2"/>
  <c r="H949" i="2"/>
  <c r="H945" i="2"/>
  <c r="H941" i="2"/>
  <c r="H937" i="2"/>
  <c r="H933" i="2"/>
  <c r="H929" i="2"/>
  <c r="H925" i="2"/>
  <c r="H921" i="2"/>
  <c r="H917" i="2"/>
  <c r="H913" i="2"/>
  <c r="H909" i="2"/>
  <c r="H905" i="2"/>
  <c r="H901" i="2"/>
  <c r="H897" i="2"/>
  <c r="H893" i="2"/>
  <c r="H889" i="2"/>
  <c r="H885" i="2"/>
  <c r="H881" i="2"/>
  <c r="H1364" i="2"/>
  <c r="H1360" i="2"/>
  <c r="H1356" i="2"/>
  <c r="H1352" i="2"/>
  <c r="H1348" i="2"/>
  <c r="H1344" i="2"/>
  <c r="H1340" i="2"/>
  <c r="H1336" i="2"/>
  <c r="H1332" i="2"/>
  <c r="H1328" i="2"/>
  <c r="H1324" i="2"/>
  <c r="H1320" i="2"/>
  <c r="H1316" i="2"/>
  <c r="H1312" i="2"/>
  <c r="H1308" i="2"/>
  <c r="H1304" i="2"/>
  <c r="H1300" i="2"/>
  <c r="H1296" i="2"/>
  <c r="H1292" i="2"/>
  <c r="H1288" i="2"/>
  <c r="H1284" i="2"/>
  <c r="H1280" i="2"/>
  <c r="H1276" i="2"/>
  <c r="H1272" i="2"/>
  <c r="H1268" i="2"/>
  <c r="H1264" i="2"/>
  <c r="H1260" i="2"/>
  <c r="H1256" i="2"/>
  <c r="H1252" i="2"/>
  <c r="H1248" i="2"/>
  <c r="H1244" i="2"/>
  <c r="H1240" i="2"/>
  <c r="H1236" i="2"/>
  <c r="H1232" i="2"/>
  <c r="H1228" i="2"/>
  <c r="H1224" i="2"/>
  <c r="H1220" i="2"/>
  <c r="H1216" i="2"/>
  <c r="H1212" i="2"/>
  <c r="H1208" i="2"/>
  <c r="H1204" i="2"/>
  <c r="H1200" i="2"/>
  <c r="H1196" i="2"/>
  <c r="H1192" i="2"/>
  <c r="H1188" i="2"/>
  <c r="H1184" i="2"/>
  <c r="H1180" i="2"/>
  <c r="H1176" i="2"/>
  <c r="H1172" i="2"/>
  <c r="H1168" i="2"/>
  <c r="H1164" i="2"/>
  <c r="H1160" i="2"/>
  <c r="H1156" i="2"/>
  <c r="H1152" i="2"/>
  <c r="H1148" i="2"/>
  <c r="H1144" i="2"/>
  <c r="H1140" i="2"/>
  <c r="H1136" i="2"/>
  <c r="H1132" i="2"/>
  <c r="H1128" i="2"/>
  <c r="H1124" i="2"/>
  <c r="H1120" i="2"/>
  <c r="H1116" i="2"/>
  <c r="H1112" i="2"/>
  <c r="H1108" i="2"/>
  <c r="H1104" i="2"/>
  <c r="H1100" i="2"/>
  <c r="H1096" i="2"/>
  <c r="H1092" i="2"/>
  <c r="H1088" i="2"/>
  <c r="H1084" i="2"/>
  <c r="H1080" i="2"/>
  <c r="H1076" i="2"/>
  <c r="H1072" i="2"/>
  <c r="H1068" i="2"/>
  <c r="H1064" i="2"/>
  <c r="H1060" i="2"/>
  <c r="H1056" i="2"/>
  <c r="H1052" i="2"/>
  <c r="H1048" i="2"/>
  <c r="H1044" i="2"/>
  <c r="H1040" i="2"/>
  <c r="H1036" i="2"/>
  <c r="H1032" i="2"/>
  <c r="H1028" i="2"/>
  <c r="H1024" i="2"/>
  <c r="H1020" i="2"/>
  <c r="H1016" i="2"/>
  <c r="H1012" i="2"/>
  <c r="H1008" i="2"/>
  <c r="H1004" i="2"/>
  <c r="H1000" i="2"/>
  <c r="H996" i="2"/>
  <c r="H992" i="2"/>
  <c r="H988" i="2"/>
  <c r="H984" i="2"/>
  <c r="H980" i="2"/>
  <c r="H976" i="2"/>
  <c r="H972" i="2"/>
  <c r="H968" i="2"/>
  <c r="H964" i="2"/>
  <c r="H960" i="2"/>
  <c r="H956" i="2"/>
  <c r="H952" i="2"/>
  <c r="H948" i="2"/>
  <c r="H944" i="2"/>
  <c r="H940" i="2"/>
  <c r="H936" i="2"/>
  <c r="H932" i="2"/>
  <c r="H928" i="2"/>
  <c r="H924" i="2"/>
  <c r="H920" i="2"/>
  <c r="H916" i="2"/>
  <c r="H912" i="2"/>
  <c r="H908" i="2"/>
  <c r="H904" i="2"/>
  <c r="H900" i="2"/>
  <c r="H896" i="2"/>
  <c r="H892" i="2"/>
  <c r="H888" i="2"/>
  <c r="H884" i="2"/>
  <c r="H880" i="2"/>
  <c r="H876" i="2"/>
  <c r="H872" i="2"/>
  <c r="H868" i="2"/>
  <c r="H864" i="2"/>
  <c r="H860" i="2"/>
  <c r="H856" i="2"/>
  <c r="H852" i="2"/>
  <c r="H848" i="2"/>
  <c r="H844" i="2"/>
  <c r="H840" i="2"/>
  <c r="H836" i="2"/>
  <c r="H832" i="2"/>
  <c r="H828" i="2"/>
  <c r="H824" i="2"/>
  <c r="H820" i="2"/>
  <c r="H816" i="2"/>
  <c r="H812" i="2"/>
  <c r="H808" i="2"/>
  <c r="H804" i="2"/>
  <c r="H800" i="2"/>
  <c r="H796" i="2"/>
  <c r="H792" i="2"/>
  <c r="H788" i="2"/>
  <c r="H784" i="2"/>
  <c r="H780" i="2"/>
  <c r="H776" i="2"/>
  <c r="H772" i="2"/>
  <c r="H768" i="2"/>
  <c r="H764" i="2"/>
  <c r="H760" i="2"/>
  <c r="H756" i="2"/>
  <c r="H752" i="2"/>
  <c r="H748" i="2"/>
  <c r="H744" i="2"/>
  <c r="H740" i="2"/>
  <c r="H736" i="2"/>
  <c r="H732" i="2"/>
  <c r="H728" i="2"/>
  <c r="H724" i="2"/>
  <c r="H720" i="2"/>
  <c r="H716" i="2"/>
  <c r="H712" i="2"/>
  <c r="H708" i="2"/>
  <c r="H704" i="2"/>
  <c r="H700" i="2"/>
  <c r="H696" i="2"/>
  <c r="H692" i="2"/>
  <c r="H688" i="2"/>
  <c r="H684" i="2"/>
  <c r="H680" i="2"/>
  <c r="H676" i="2"/>
  <c r="H672" i="2"/>
  <c r="H668" i="2"/>
  <c r="H664" i="2"/>
  <c r="H660" i="2"/>
  <c r="H656" i="2"/>
  <c r="H652" i="2"/>
  <c r="H648" i="2"/>
  <c r="H644" i="2"/>
  <c r="H640" i="2"/>
  <c r="H636" i="2"/>
  <c r="H632" i="2"/>
  <c r="H628" i="2"/>
  <c r="H624" i="2"/>
  <c r="H620" i="2"/>
  <c r="H616" i="2"/>
  <c r="H612" i="2"/>
  <c r="H608" i="2"/>
  <c r="H604" i="2"/>
  <c r="H600" i="2"/>
  <c r="H596" i="2"/>
  <c r="H592" i="2"/>
  <c r="H588" i="2"/>
  <c r="H584" i="2"/>
  <c r="H580" i="2"/>
  <c r="H576" i="2"/>
  <c r="H572" i="2"/>
  <c r="H568" i="2"/>
  <c r="H564" i="2"/>
  <c r="H560" i="2"/>
  <c r="H556" i="2"/>
  <c r="H552" i="2"/>
  <c r="H548" i="2"/>
  <c r="H544" i="2"/>
  <c r="H540" i="2"/>
  <c r="H536" i="2"/>
  <c r="H532" i="2"/>
  <c r="H528" i="2"/>
  <c r="H524" i="2"/>
  <c r="H520" i="2"/>
  <c r="H516" i="2"/>
  <c r="H512" i="2"/>
  <c r="H508" i="2"/>
  <c r="H504" i="2"/>
  <c r="H500" i="2"/>
  <c r="H496" i="2"/>
  <c r="H492" i="2"/>
  <c r="H488" i="2"/>
  <c r="H484" i="2"/>
  <c r="H480" i="2"/>
  <c r="H476" i="2"/>
  <c r="H472" i="2"/>
  <c r="H468" i="2"/>
  <c r="H464" i="2"/>
  <c r="H460" i="2"/>
  <c r="H456" i="2"/>
  <c r="H452" i="2"/>
  <c r="H448" i="2"/>
  <c r="H444" i="2"/>
  <c r="H440" i="2"/>
  <c r="H436" i="2"/>
  <c r="H432" i="2"/>
  <c r="H428" i="2"/>
  <c r="H424" i="2"/>
  <c r="H420" i="2"/>
  <c r="H416" i="2"/>
  <c r="H412" i="2"/>
  <c r="H408" i="2"/>
  <c r="H404" i="2"/>
  <c r="H400" i="2"/>
  <c r="H396" i="2"/>
  <c r="H392" i="2"/>
  <c r="H388" i="2"/>
  <c r="H384" i="2"/>
  <c r="H380" i="2"/>
  <c r="H376" i="2"/>
  <c r="H372" i="2"/>
  <c r="H368" i="2"/>
  <c r="H364" i="2"/>
  <c r="H360" i="2"/>
  <c r="H356" i="2"/>
  <c r="H352" i="2"/>
  <c r="H348" i="2"/>
  <c r="H344" i="2"/>
  <c r="H340" i="2"/>
  <c r="H336" i="2"/>
  <c r="H332" i="2"/>
  <c r="H328" i="2"/>
  <c r="H324" i="2"/>
  <c r="H320" i="2"/>
  <c r="H316" i="2"/>
  <c r="H312" i="2"/>
  <c r="H308" i="2"/>
  <c r="H304" i="2"/>
  <c r="H300" i="2"/>
  <c r="H296" i="2"/>
  <c r="H292" i="2"/>
  <c r="H288" i="2"/>
  <c r="H284" i="2"/>
  <c r="H280" i="2"/>
  <c r="H276" i="2"/>
  <c r="H272" i="2"/>
  <c r="H268" i="2"/>
  <c r="H264" i="2"/>
  <c r="H260" i="2"/>
  <c r="H256" i="2"/>
  <c r="H252" i="2"/>
  <c r="H248" i="2"/>
  <c r="H244" i="2"/>
  <c r="H240" i="2"/>
  <c r="H236" i="2"/>
  <c r="H232" i="2"/>
  <c r="H228" i="2"/>
  <c r="H224" i="2"/>
  <c r="H220" i="2"/>
  <c r="H216" i="2"/>
  <c r="H212" i="2"/>
  <c r="H208" i="2"/>
  <c r="H204" i="2"/>
  <c r="H200" i="2"/>
  <c r="H196" i="2"/>
  <c r="H192" i="2"/>
  <c r="H188" i="2"/>
  <c r="H184" i="2"/>
  <c r="H180" i="2"/>
  <c r="H176" i="2"/>
  <c r="H172" i="2"/>
  <c r="H168" i="2"/>
  <c r="H164" i="2"/>
  <c r="H160" i="2"/>
  <c r="H156" i="2"/>
  <c r="H152" i="2"/>
  <c r="H148" i="2"/>
  <c r="H144" i="2"/>
  <c r="H140" i="2"/>
  <c r="H136" i="2"/>
  <c r="H132" i="2"/>
  <c r="H128" i="2"/>
  <c r="H124" i="2"/>
  <c r="H120" i="2"/>
  <c r="H116" i="2"/>
  <c r="H112" i="2"/>
  <c r="H108" i="2"/>
  <c r="H104" i="2"/>
  <c r="H100" i="2"/>
  <c r="H96" i="2"/>
  <c r="H92" i="2"/>
  <c r="H88" i="2"/>
  <c r="H84" i="2"/>
  <c r="H80" i="2"/>
  <c r="H76" i="2"/>
  <c r="H72" i="2"/>
  <c r="H68" i="2"/>
  <c r="H64" i="2"/>
  <c r="H60" i="2"/>
  <c r="H56" i="2"/>
  <c r="H52" i="2"/>
  <c r="H48" i="2"/>
  <c r="H44" i="2"/>
  <c r="H40" i="2"/>
  <c r="H36" i="2"/>
  <c r="H32" i="2"/>
  <c r="H28" i="2"/>
  <c r="H24" i="2"/>
  <c r="H20" i="2"/>
  <c r="H16" i="2"/>
  <c r="H12" i="2"/>
  <c r="H8" i="2"/>
  <c r="H4" i="2"/>
  <c r="H863" i="2"/>
  <c r="H859" i="2"/>
  <c r="H855" i="2"/>
  <c r="H847" i="2"/>
  <c r="H843" i="2"/>
  <c r="H839" i="2"/>
  <c r="H835" i="2"/>
  <c r="H831" i="2"/>
  <c r="H827" i="2"/>
  <c r="H823" i="2"/>
  <c r="H815" i="2"/>
  <c r="H811" i="2"/>
  <c r="H807" i="2"/>
  <c r="H803" i="2"/>
  <c r="H799" i="2"/>
  <c r="H795" i="2"/>
  <c r="H791" i="2"/>
  <c r="H783" i="2"/>
  <c r="H779" i="2"/>
  <c r="H775" i="2"/>
  <c r="H771" i="2"/>
  <c r="H767" i="2"/>
  <c r="H763" i="2"/>
  <c r="H759" i="2"/>
  <c r="H751" i="2"/>
  <c r="H747" i="2"/>
  <c r="H743" i="2"/>
  <c r="H739" i="2"/>
  <c r="H735" i="2"/>
  <c r="H731" i="2"/>
  <c r="H727" i="2"/>
  <c r="H719" i="2"/>
  <c r="H715" i="2"/>
  <c r="H711" i="2"/>
  <c r="H707" i="2"/>
  <c r="H703" i="2"/>
  <c r="H699" i="2"/>
  <c r="H695" i="2"/>
  <c r="H687" i="2"/>
  <c r="H683" i="2"/>
  <c r="H679" i="2"/>
  <c r="H675" i="2"/>
  <c r="H671" i="2"/>
  <c r="H667" i="2"/>
  <c r="H663" i="2"/>
  <c r="H655" i="2"/>
  <c r="H651" i="2"/>
  <c r="H647" i="2"/>
  <c r="H643" i="2"/>
  <c r="H639" i="2"/>
  <c r="H635" i="2"/>
  <c r="H631" i="2"/>
  <c r="H623" i="2"/>
  <c r="H619" i="2"/>
  <c r="H615" i="2"/>
  <c r="H611" i="2"/>
  <c r="H607" i="2"/>
  <c r="H603" i="2"/>
  <c r="H599" i="2"/>
  <c r="H591" i="2"/>
  <c r="H587" i="2"/>
  <c r="H583" i="2"/>
  <c r="H579" i="2"/>
  <c r="H575" i="2"/>
  <c r="H571" i="2"/>
  <c r="H567" i="2"/>
  <c r="H559" i="2"/>
  <c r="H555" i="2"/>
  <c r="H551" i="2"/>
  <c r="H547" i="2"/>
  <c r="H543" i="2"/>
  <c r="H539" i="2"/>
  <c r="H535" i="2"/>
  <c r="H527" i="2"/>
  <c r="H523" i="2"/>
  <c r="H519" i="2"/>
  <c r="H515" i="2"/>
  <c r="H511" i="2"/>
  <c r="H507" i="2"/>
  <c r="H503" i="2"/>
  <c r="H495" i="2"/>
  <c r="H491" i="2"/>
  <c r="H487" i="2"/>
  <c r="H483" i="2"/>
  <c r="H479" i="2"/>
  <c r="H475" i="2"/>
  <c r="H471" i="2"/>
  <c r="H463" i="2"/>
  <c r="H459" i="2"/>
  <c r="H455" i="2"/>
  <c r="H451" i="2"/>
  <c r="H447" i="2"/>
  <c r="H443" i="2"/>
  <c r="H439" i="2"/>
  <c r="H431" i="2"/>
  <c r="H427" i="2"/>
  <c r="H423" i="2"/>
  <c r="H419" i="2"/>
  <c r="H415" i="2"/>
  <c r="H411" i="2"/>
  <c r="H407" i="2"/>
  <c r="H399" i="2"/>
  <c r="H395" i="2"/>
  <c r="H391" i="2"/>
  <c r="H387" i="2"/>
  <c r="H383" i="2"/>
  <c r="H379" i="2"/>
  <c r="H375" i="2"/>
  <c r="H371" i="2"/>
  <c r="H367" i="2"/>
  <c r="H363" i="2"/>
  <c r="H359" i="2"/>
  <c r="H355" i="2"/>
  <c r="H351" i="2"/>
  <c r="H347" i="2"/>
  <c r="H339" i="2"/>
  <c r="H335" i="2"/>
  <c r="H331" i="2"/>
  <c r="H327" i="2"/>
  <c r="H323" i="2"/>
  <c r="H319" i="2"/>
  <c r="H315" i="2"/>
  <c r="H311" i="2"/>
  <c r="H307" i="2"/>
  <c r="H303" i="2"/>
  <c r="H299" i="2"/>
  <c r="H295" i="2"/>
  <c r="H291" i="2"/>
  <c r="H287" i="2"/>
  <c r="H283" i="2"/>
  <c r="H279" i="2"/>
  <c r="H275" i="2"/>
  <c r="H271" i="2"/>
  <c r="H267" i="2"/>
  <c r="H263" i="2"/>
  <c r="H259" i="2"/>
  <c r="H255" i="2"/>
  <c r="H251" i="2"/>
  <c r="H247" i="2"/>
  <c r="H243" i="2"/>
  <c r="H239" i="2"/>
  <c r="H235" i="2"/>
  <c r="H231" i="2"/>
  <c r="H227" i="2"/>
  <c r="H223" i="2"/>
  <c r="H219" i="2"/>
  <c r="H215" i="2"/>
  <c r="H211" i="2"/>
  <c r="H207" i="2"/>
  <c r="H203" i="2"/>
  <c r="H199" i="2"/>
  <c r="H195" i="2"/>
  <c r="H191" i="2"/>
  <c r="H187" i="2"/>
  <c r="H183" i="2"/>
  <c r="H179" i="2"/>
  <c r="H175" i="2"/>
  <c r="H171" i="2"/>
  <c r="H167" i="2"/>
  <c r="H163" i="2"/>
  <c r="H159" i="2"/>
  <c r="H155" i="2"/>
  <c r="H151" i="2"/>
  <c r="H147" i="2"/>
  <c r="H143" i="2"/>
  <c r="H139" i="2"/>
  <c r="H135" i="2"/>
  <c r="H131" i="2"/>
  <c r="H127" i="2"/>
  <c r="H123" i="2"/>
  <c r="H119" i="2"/>
  <c r="H115" i="2"/>
  <c r="H111" i="2"/>
  <c r="H107" i="2"/>
  <c r="H103" i="2"/>
  <c r="H99" i="2"/>
  <c r="H95" i="2"/>
  <c r="H91" i="2"/>
  <c r="H87" i="2"/>
  <c r="H83" i="2"/>
  <c r="H79" i="2"/>
  <c r="H75" i="2"/>
  <c r="H71" i="2"/>
  <c r="H67" i="2"/>
  <c r="H63" i="2"/>
  <c r="H59" i="2"/>
  <c r="H55" i="2"/>
  <c r="H51" i="2"/>
  <c r="H47" i="2"/>
  <c r="H43" i="2"/>
  <c r="H39" i="2"/>
  <c r="H35" i="2"/>
  <c r="H31" i="2"/>
  <c r="H27" i="2"/>
  <c r="H23" i="2"/>
  <c r="H19" i="2"/>
  <c r="H15" i="2"/>
  <c r="H11" i="2"/>
  <c r="H7" i="2"/>
  <c r="H3" i="2"/>
  <c r="H918" i="2"/>
  <c r="H914" i="2"/>
  <c r="H910" i="2"/>
  <c r="H906" i="2"/>
  <c r="H902" i="2"/>
  <c r="H898" i="2"/>
  <c r="H894" i="2"/>
  <c r="H890" i="2"/>
  <c r="H886" i="2"/>
  <c r="H882" i="2"/>
  <c r="H878" i="2"/>
  <c r="H874" i="2"/>
  <c r="H870" i="2"/>
  <c r="H866" i="2"/>
  <c r="H862" i="2"/>
  <c r="H858" i="2"/>
  <c r="H854" i="2"/>
  <c r="H850" i="2"/>
  <c r="H846" i="2"/>
  <c r="H842" i="2"/>
  <c r="H838" i="2"/>
  <c r="H834" i="2"/>
  <c r="H830" i="2"/>
  <c r="H826" i="2"/>
  <c r="H822" i="2"/>
  <c r="H818" i="2"/>
  <c r="H814" i="2"/>
  <c r="H810" i="2"/>
  <c r="H806" i="2"/>
  <c r="H802" i="2"/>
  <c r="H798" i="2"/>
  <c r="H794" i="2"/>
  <c r="H790" i="2"/>
  <c r="H786" i="2"/>
  <c r="H782" i="2"/>
  <c r="H778" i="2"/>
  <c r="H774" i="2"/>
  <c r="H770" i="2"/>
  <c r="H766" i="2"/>
  <c r="H762" i="2"/>
  <c r="H758" i="2"/>
  <c r="H754" i="2"/>
  <c r="H750" i="2"/>
  <c r="H746" i="2"/>
  <c r="H742" i="2"/>
  <c r="H738" i="2"/>
  <c r="H734" i="2"/>
  <c r="H730" i="2"/>
  <c r="H726" i="2"/>
  <c r="H722" i="2"/>
  <c r="H718" i="2"/>
  <c r="H714" i="2"/>
  <c r="H710" i="2"/>
  <c r="H706" i="2"/>
  <c r="H702" i="2"/>
  <c r="H698" i="2"/>
  <c r="H694" i="2"/>
  <c r="H690" i="2"/>
  <c r="H686" i="2"/>
  <c r="H682" i="2"/>
  <c r="H678" i="2"/>
  <c r="H674" i="2"/>
  <c r="H670" i="2"/>
  <c r="H666" i="2"/>
  <c r="H662" i="2"/>
  <c r="H658" i="2"/>
  <c r="H654" i="2"/>
  <c r="H650" i="2"/>
  <c r="H646" i="2"/>
  <c r="H642" i="2"/>
  <c r="H638" i="2"/>
  <c r="H634" i="2"/>
  <c r="H630" i="2"/>
  <c r="H626" i="2"/>
  <c r="H622" i="2"/>
  <c r="H618" i="2"/>
  <c r="H614" i="2"/>
  <c r="H610" i="2"/>
  <c r="H606" i="2"/>
  <c r="H602" i="2"/>
  <c r="H598" i="2"/>
  <c r="H594" i="2"/>
  <c r="H590" i="2"/>
  <c r="H586" i="2"/>
  <c r="H582" i="2"/>
  <c r="H578" i="2"/>
  <c r="H574" i="2"/>
  <c r="H570" i="2"/>
  <c r="H566" i="2"/>
  <c r="H562" i="2"/>
  <c r="H558" i="2"/>
  <c r="H554" i="2"/>
  <c r="H550" i="2"/>
  <c r="H546" i="2"/>
  <c r="H542" i="2"/>
  <c r="H538" i="2"/>
  <c r="H534" i="2"/>
  <c r="H530" i="2"/>
  <c r="H526" i="2"/>
  <c r="H522" i="2"/>
  <c r="H518" i="2"/>
  <c r="H514" i="2"/>
  <c r="H510" i="2"/>
  <c r="H506" i="2"/>
  <c r="H502" i="2"/>
  <c r="H498" i="2"/>
  <c r="H494" i="2"/>
  <c r="H490" i="2"/>
  <c r="H486" i="2"/>
  <c r="H482" i="2"/>
  <c r="H478" i="2"/>
  <c r="H474" i="2"/>
  <c r="H470" i="2"/>
  <c r="H466" i="2"/>
  <c r="H462" i="2"/>
  <c r="H458" i="2"/>
  <c r="H454" i="2"/>
  <c r="H450" i="2"/>
  <c r="H446" i="2"/>
  <c r="H442" i="2"/>
  <c r="H438" i="2"/>
  <c r="H434" i="2"/>
  <c r="H430" i="2"/>
  <c r="H426" i="2"/>
  <c r="H422" i="2"/>
  <c r="H418" i="2"/>
  <c r="H414" i="2"/>
  <c r="H410" i="2"/>
  <c r="H406" i="2"/>
  <c r="H402" i="2"/>
  <c r="H398" i="2"/>
  <c r="H394" i="2"/>
  <c r="H390" i="2"/>
  <c r="H386" i="2"/>
  <c r="H382" i="2"/>
  <c r="H378" i="2"/>
  <c r="H374" i="2"/>
  <c r="H370" i="2"/>
  <c r="H366" i="2"/>
  <c r="H362" i="2"/>
  <c r="H358" i="2"/>
  <c r="H354" i="2"/>
  <c r="H350" i="2"/>
  <c r="H346" i="2"/>
  <c r="H342" i="2"/>
  <c r="H338" i="2"/>
  <c r="H334" i="2"/>
  <c r="H330" i="2"/>
  <c r="H326" i="2"/>
  <c r="H322" i="2"/>
  <c r="H318" i="2"/>
  <c r="H314" i="2"/>
  <c r="H310" i="2"/>
  <c r="H306" i="2"/>
  <c r="H302" i="2"/>
  <c r="H298" i="2"/>
  <c r="H294" i="2"/>
  <c r="H290" i="2"/>
  <c r="H286" i="2"/>
  <c r="H282" i="2"/>
  <c r="H278" i="2"/>
  <c r="H274" i="2"/>
  <c r="H270" i="2"/>
  <c r="H266" i="2"/>
  <c r="H262" i="2"/>
  <c r="H258" i="2"/>
  <c r="H254" i="2"/>
  <c r="H250" i="2"/>
  <c r="H246" i="2"/>
  <c r="H242" i="2"/>
  <c r="H238" i="2"/>
  <c r="H234" i="2"/>
  <c r="H230" i="2"/>
  <c r="H226" i="2"/>
  <c r="H222" i="2"/>
  <c r="H218" i="2"/>
  <c r="H214" i="2"/>
  <c r="H210" i="2"/>
  <c r="H206" i="2"/>
  <c r="H202" i="2"/>
  <c r="H198" i="2"/>
  <c r="H194" i="2"/>
  <c r="H190" i="2"/>
  <c r="H186" i="2"/>
  <c r="H182" i="2"/>
  <c r="H178" i="2"/>
  <c r="H174" i="2"/>
  <c r="H170" i="2"/>
  <c r="H166" i="2"/>
  <c r="H162" i="2"/>
  <c r="H158" i="2"/>
  <c r="H154" i="2"/>
  <c r="H150" i="2"/>
  <c r="H146" i="2"/>
  <c r="H142" i="2"/>
  <c r="H138" i="2"/>
  <c r="H134" i="2"/>
  <c r="H130" i="2"/>
  <c r="H126" i="2"/>
  <c r="H122" i="2"/>
  <c r="H118" i="2"/>
  <c r="H114" i="2"/>
  <c r="H110" i="2"/>
  <c r="H106" i="2"/>
  <c r="H102" i="2"/>
  <c r="H98" i="2"/>
  <c r="H94" i="2"/>
  <c r="H90" i="2"/>
  <c r="H86" i="2"/>
  <c r="H82" i="2"/>
  <c r="H78" i="2"/>
  <c r="H74" i="2"/>
  <c r="H70" i="2"/>
  <c r="H66" i="2"/>
  <c r="H62" i="2"/>
  <c r="H58" i="2"/>
  <c r="H54" i="2"/>
  <c r="H50" i="2"/>
  <c r="H46" i="2"/>
  <c r="H42" i="2"/>
  <c r="H38" i="2"/>
  <c r="H34" i="2"/>
  <c r="H30" i="2"/>
  <c r="H26" i="2"/>
  <c r="H22" i="2"/>
  <c r="H18" i="2"/>
  <c r="H14" i="2"/>
  <c r="H10" i="2"/>
  <c r="H6" i="2"/>
  <c r="H877" i="2"/>
  <c r="H873" i="2"/>
  <c r="H869" i="2"/>
  <c r="H865" i="2"/>
  <c r="H861" i="2"/>
  <c r="H857" i="2"/>
  <c r="H853" i="2"/>
  <c r="H849" i="2"/>
  <c r="H845" i="2"/>
  <c r="H841" i="2"/>
  <c r="H837" i="2"/>
  <c r="H833" i="2"/>
  <c r="H829" i="2"/>
  <c r="H825" i="2"/>
  <c r="H821" i="2"/>
  <c r="H817" i="2"/>
  <c r="H813" i="2"/>
  <c r="H809" i="2"/>
  <c r="H805" i="2"/>
  <c r="H801" i="2"/>
  <c r="H797" i="2"/>
  <c r="H793" i="2"/>
  <c r="H789" i="2"/>
  <c r="H785" i="2"/>
  <c r="H781" i="2"/>
  <c r="H777" i="2"/>
  <c r="H773" i="2"/>
  <c r="H769" i="2"/>
  <c r="H765" i="2"/>
  <c r="H761" i="2"/>
  <c r="H757" i="2"/>
  <c r="H753" i="2"/>
  <c r="H749" i="2"/>
  <c r="H745" i="2"/>
  <c r="H741" i="2"/>
  <c r="H737" i="2"/>
  <c r="H733" i="2"/>
  <c r="H729" i="2"/>
  <c r="H725" i="2"/>
  <c r="H721" i="2"/>
  <c r="H717" i="2"/>
  <c r="H713" i="2"/>
  <c r="H709" i="2"/>
  <c r="H705" i="2"/>
  <c r="H701" i="2"/>
  <c r="H697" i="2"/>
  <c r="H693" i="2"/>
  <c r="H689" i="2"/>
  <c r="H685" i="2"/>
  <c r="H681" i="2"/>
  <c r="H677" i="2"/>
  <c r="H673" i="2"/>
  <c r="H669" i="2"/>
  <c r="H665" i="2"/>
  <c r="H661" i="2"/>
  <c r="H657" i="2"/>
  <c r="H653" i="2"/>
  <c r="H649" i="2"/>
  <c r="H645" i="2"/>
  <c r="H641" i="2"/>
  <c r="H637" i="2"/>
  <c r="H633" i="2"/>
  <c r="H629" i="2"/>
  <c r="H625" i="2"/>
  <c r="H621" i="2"/>
  <c r="H617" i="2"/>
  <c r="H613" i="2"/>
  <c r="H609" i="2"/>
  <c r="H605" i="2"/>
  <c r="H601" i="2"/>
  <c r="H597" i="2"/>
  <c r="H593" i="2"/>
  <c r="H589" i="2"/>
  <c r="H585" i="2"/>
  <c r="H581" i="2"/>
  <c r="H577" i="2"/>
  <c r="H573" i="2"/>
  <c r="H569" i="2"/>
  <c r="H565" i="2"/>
  <c r="H561" i="2"/>
  <c r="H557" i="2"/>
  <c r="H553" i="2"/>
  <c r="H549" i="2"/>
  <c r="H545" i="2"/>
  <c r="H541" i="2"/>
  <c r="H537" i="2"/>
  <c r="H533" i="2"/>
  <c r="H529" i="2"/>
  <c r="H525" i="2"/>
  <c r="H521" i="2"/>
  <c r="H517" i="2"/>
  <c r="H513" i="2"/>
  <c r="H509" i="2"/>
  <c r="H505" i="2"/>
  <c r="H501" i="2"/>
  <c r="H497" i="2"/>
  <c r="H493" i="2"/>
  <c r="H489" i="2"/>
  <c r="H485" i="2"/>
  <c r="H481" i="2"/>
  <c r="H477" i="2"/>
  <c r="H473" i="2"/>
  <c r="H469" i="2"/>
  <c r="H465" i="2"/>
  <c r="H461" i="2"/>
  <c r="H457" i="2"/>
  <c r="H453" i="2"/>
  <c r="H449" i="2"/>
  <c r="H445" i="2"/>
  <c r="H441" i="2"/>
  <c r="H437" i="2"/>
  <c r="H433" i="2"/>
  <c r="H429" i="2"/>
  <c r="H425" i="2"/>
  <c r="H421" i="2"/>
  <c r="H417" i="2"/>
  <c r="H413" i="2"/>
  <c r="H409" i="2"/>
  <c r="H405" i="2"/>
  <c r="H401" i="2"/>
  <c r="H397" i="2"/>
  <c r="H393" i="2"/>
  <c r="H389" i="2"/>
  <c r="H385" i="2"/>
  <c r="H381" i="2"/>
  <c r="H377" i="2"/>
  <c r="H373" i="2"/>
  <c r="H369" i="2"/>
  <c r="H365" i="2"/>
  <c r="H361" i="2"/>
  <c r="H357" i="2"/>
  <c r="H353" i="2"/>
  <c r="H349" i="2"/>
  <c r="H345" i="2"/>
  <c r="H341" i="2"/>
  <c r="H337" i="2"/>
  <c r="H333" i="2"/>
  <c r="H329" i="2"/>
  <c r="H325" i="2"/>
  <c r="H321" i="2"/>
  <c r="H317" i="2"/>
  <c r="H313" i="2"/>
  <c r="H309" i="2"/>
  <c r="H305" i="2"/>
  <c r="H301" i="2"/>
  <c r="H297" i="2"/>
  <c r="H293" i="2"/>
  <c r="H289" i="2"/>
  <c r="H285" i="2"/>
  <c r="H281" i="2"/>
  <c r="H277" i="2"/>
  <c r="H273" i="2"/>
  <c r="H269" i="2"/>
  <c r="H265" i="2"/>
  <c r="H261" i="2"/>
  <c r="H257" i="2"/>
  <c r="H253" i="2"/>
  <c r="H249" i="2"/>
  <c r="H245" i="2"/>
  <c r="H241" i="2"/>
  <c r="H237" i="2"/>
  <c r="H233" i="2"/>
  <c r="H229" i="2"/>
  <c r="H225" i="2"/>
  <c r="H221" i="2"/>
  <c r="H217" i="2"/>
  <c r="H213" i="2"/>
  <c r="H209" i="2"/>
  <c r="H205" i="2"/>
  <c r="H201" i="2"/>
  <c r="H197" i="2"/>
  <c r="H193" i="2"/>
  <c r="H189" i="2"/>
  <c r="H185" i="2"/>
  <c r="H181" i="2"/>
  <c r="H177" i="2"/>
  <c r="H173" i="2"/>
  <c r="H169" i="2"/>
  <c r="H165" i="2"/>
  <c r="H161" i="2"/>
  <c r="H157" i="2"/>
  <c r="H153" i="2"/>
  <c r="H149" i="2"/>
  <c r="H145" i="2"/>
  <c r="H141" i="2"/>
  <c r="H137" i="2"/>
  <c r="H133" i="2"/>
  <c r="H129" i="2"/>
  <c r="H125" i="2"/>
  <c r="H121" i="2"/>
  <c r="H117" i="2"/>
  <c r="H113" i="2"/>
  <c r="H109" i="2"/>
  <c r="H105" i="2"/>
  <c r="H101" i="2"/>
  <c r="H97" i="2"/>
  <c r="H93" i="2"/>
  <c r="H89" i="2"/>
  <c r="H85" i="2"/>
  <c r="H81" i="2"/>
  <c r="H77" i="2"/>
  <c r="H73" i="2"/>
  <c r="H69" i="2"/>
  <c r="H65" i="2"/>
  <c r="H61" i="2"/>
  <c r="H57" i="2"/>
  <c r="H53" i="2"/>
  <c r="H49" i="2"/>
  <c r="H45" i="2"/>
  <c r="H41" i="2"/>
  <c r="H37" i="2"/>
  <c r="H33" i="2"/>
  <c r="H29" i="2"/>
  <c r="H25" i="2"/>
  <c r="H21" i="2"/>
  <c r="H17" i="2"/>
  <c r="H13" i="2"/>
  <c r="H9" i="2"/>
  <c r="H5" i="2"/>
  <c r="E51" i="9" l="1"/>
  <c r="E53" i="9"/>
  <c r="E54" i="9" l="1"/>
  <c r="E55" i="9"/>
  <c r="B58" i="9" l="1"/>
</calcChain>
</file>

<file path=xl/sharedStrings.xml><?xml version="1.0" encoding="utf-8"?>
<sst xmlns="http://schemas.openxmlformats.org/spreadsheetml/2006/main" count="4332" uniqueCount="2973">
  <si>
    <t>ClaimID,AccidentDate,ReportDate,TransactionDate,TransactionAmount</t>
  </si>
  <si>
    <t>CLM-10729,2023-05-19,2023-07-10,2024-09-26,48356.6</t>
  </si>
  <si>
    <t>CLM-10334,2021-04-20,2021-04-29,2021-10-13,63551.48</t>
  </si>
  <si>
    <t>CLM-10128,2022-01-16,2022-01-26,2022-09-24,65621.89</t>
  </si>
  <si>
    <t>CLM-10162,2020-02-24,2020-04-24,2020-09-07,81999.1</t>
  </si>
  <si>
    <t>CLM-10692,2021-08-14,2021-11-11,2022-08-18,82277.33</t>
  </si>
  <si>
    <t>CLM-10028,2020-03-02,2020-05-30,2021-11-01,82838.0</t>
  </si>
  <si>
    <t>CLM-10700,2021-02-08,2021-03-03,2021-08-01,24434.41</t>
  </si>
  <si>
    <t>CLM-10029,2021-03-21,2021-03-31,2021-05-11,19892.93</t>
  </si>
  <si>
    <t>CLM-10040,2022-01-05,,2022-12-22,70182.14</t>
  </si>
  <si>
    <t>CLM-10622,2023-03-12,2023-03-27,2024-01-03,61067.93</t>
  </si>
  <si>
    <t>CLM-10616,2021-02-04,2021-03-08,2021-05-23,-2382.52</t>
  </si>
  <si>
    <t>CLM-10663,2020-11-09,2020-11-22,2021-04-03,24528.25</t>
  </si>
  <si>
    <t>CLM-10232,2021-09-05,2021-09-10,2021-10-11,66178.01</t>
  </si>
  <si>
    <t>CLM-10555,2022-12-21,2023-03-18,2023-12-05,25302.26</t>
  </si>
  <si>
    <t>CLM-10482,2024-02-01,2024-02-23,2024-12-23,47450.68</t>
  </si>
  <si>
    <t>CLM-10280,2023-02-13,2023-04-15,2024-03-23,60844.34</t>
  </si>
  <si>
    <t>CLM-10616,2021-02-04,2021-03-08,2021-03-28,21454.91</t>
  </si>
  <si>
    <t>CLM-10685,2020-03-16,2020-03-17,2020-06-12,40494.64</t>
  </si>
  <si>
    <t>CLM-10015,2020-07-20,2020-08-17,2021-04-16,45125.14</t>
  </si>
  <si>
    <t>CLM-10145,2020-01-21,2020-03-11,2021-04-14,29866.65</t>
  </si>
  <si>
    <t>CLM-10138,2023-02-27,2023-05-07,2024-03-28,78378.48</t>
  </si>
  <si>
    <t>CLM-10076,2023-01-08,2023-03-22,2023-10-13,13538.44</t>
  </si>
  <si>
    <t>CLM-10608,2020-06-26,2020-08-20,2021-07-22,54307.23</t>
  </si>
  <si>
    <t>CLM-10656,2024-12-13,,2025-04-09,81046.11</t>
  </si>
  <si>
    <t>CLM-10366,2023-03-21,2023-03-23,2025-03-17,57115.48</t>
  </si>
  <si>
    <t>CLM-10680,2022-12-29,2023-01-30,2023-04-03,40189.53</t>
  </si>
  <si>
    <t>CLM-10673,2021-02-09,2021-04-06,2021-06-20,73480.24</t>
  </si>
  <si>
    <t>CLM-10158,2023-05-04,2023-06-29,2023-10-29,76148.36</t>
  </si>
  <si>
    <t>CLM-10219,2024-08-21,2024-10-20,2024-12-21,57488.29</t>
  </si>
  <si>
    <t>CLM-10321,2020-08-16,2020-11-09,2021-05-13,75802.72</t>
  </si>
  <si>
    <t>CLM-10393,2020-05-19,2020-06-04,2020-07-16,-22824.31</t>
  </si>
  <si>
    <t>CLM-10092,2020-06-15,2020-09-08,2021-07-25,72909.95</t>
  </si>
  <si>
    <t>CLM-10088,2023-01-28,2023-04-01,2023-05-01,81217.47</t>
  </si>
  <si>
    <t>CLM-10372,2020-05-11,2020-07-23,2020-08-20,-5485.62</t>
  </si>
  <si>
    <t>CLM-10150,2021-06-20,2021-06-25,2021-12-12,49825.67</t>
  </si>
  <si>
    <t>CLM-10011,2020-03-23,2020-04-06,2022-04-22,-4884.83</t>
  </si>
  <si>
    <t>CLM-10177,2020-02-03,2020-03-24,2020-08-04,23356.31</t>
  </si>
  <si>
    <t>CLM-10342,2022-09-06,2022-11-15,2023-05-26,49996.14</t>
  </si>
  <si>
    <t>CLM-10458,2022-10-02,2022-10-24,2023-02-03,77659.93</t>
  </si>
  <si>
    <t>CLM-10493,2021-04-16,2021-05-19,2022-03-28,55087.02</t>
  </si>
  <si>
    <t>CLM-10601,2021-10-19,2021-12-26,2022-12-13,71619.39</t>
  </si>
  <si>
    <t>CLM-10098,2023-05-17,2023-07-25,2024-08-02,71102.82</t>
  </si>
  <si>
    <t>CLM-10484,2023-01-23,2023-03-30,2024-11-23,40503.09</t>
  </si>
  <si>
    <t>CLM-10309,2024-11-23,,2025-05-03,2242043.82</t>
  </si>
  <si>
    <t>CLM-10129,2020-03-20,2020-04-22,2020-09-04,28960.61</t>
  </si>
  <si>
    <t>CLM-10341,2024-05-09,2024-06-16,2024-10-12,65509.46</t>
  </si>
  <si>
    <t>CLM-10631,2023-12-04,2024-01-17,2024-05-23,28040.71</t>
  </si>
  <si>
    <t>CLM-10449,2021-03-25,2021-05-31,2021-08-17,9788.73</t>
  </si>
  <si>
    <t>CLM-10355,2023-03-23,2023-04-15,2024-06-10,-19151.28</t>
  </si>
  <si>
    <t>CLM-10015,2020-07-20,2020-08-17,2020-10-05,54083.86</t>
  </si>
  <si>
    <t>CLM-10235,2022-09-19,2022-12-14,2023-06-10,44509.6</t>
  </si>
  <si>
    <t>CLM-10113,2020-02-04,2020-04-04,2021-01-18,43634.29</t>
  </si>
  <si>
    <t>CLM-10223,2020-06-27,2020-08-09,2020-09-15,59866.04</t>
  </si>
  <si>
    <t>CLM-10355,2023-03-23,2023-04-15,2023-07-06,18728.34</t>
  </si>
  <si>
    <t>CLM-10408,2020-04-25,2020-07-07,2021-01-07,27382.83</t>
  </si>
  <si>
    <t>CLM-10171,2021-09-13,2021-11-10,2023-04-02,6379.1</t>
  </si>
  <si>
    <t>CLM-10239,2023-09-22,2023-11-08,2024-02-09,45366.43</t>
  </si>
  <si>
    <t>CLM-10326,2021-03-08,2021-05-20,2021-10-07,38391.11</t>
  </si>
  <si>
    <t>CLM-10003,2024-05-12,2024-05-18,2024-06-08,50420.04</t>
  </si>
  <si>
    <t>CLM-10699,2024-06-30,2024-07-08,2025-04-08,66354.14</t>
  </si>
  <si>
    <t>CLM-10172,2022-02-17,2022-04-25,2023-03-18,54133.45</t>
  </si>
  <si>
    <t>CLM-10407,2021-01-21,2021-04-02,2022-03-08,18746.39</t>
  </si>
  <si>
    <t>CLM-10733,2021-09-06,2021-10-18,2022-07-24,33953.99</t>
  </si>
  <si>
    <t>CLM-10691,2021-02-13,2021-03-26,2021-10-02,10593.64</t>
  </si>
  <si>
    <t>CLM-10198,2021-04-17,2021-07-06,2022-05-25,20444.12</t>
  </si>
  <si>
    <t>CLM-10691,2021-02-13,2021-03-26,2022-02-04,16503.37</t>
  </si>
  <si>
    <t>CLM-10033,2024-07-15,2024-09-22,2024-11-21,13531.76</t>
  </si>
  <si>
    <t>CLM-10493,2021-04-16,2021-05-19,2021-10-28,58020.5</t>
  </si>
  <si>
    <t>CLM-10359,2023-06-21,2023-09-18,2024-05-01,37025.32</t>
  </si>
  <si>
    <t>CLM-10579,2020-07-05,2020-08-15,2021-01-02,-2118.63</t>
  </si>
  <si>
    <t>CLM-10129,2020-03-20,2020-04-22,2021-02-04,9950.46</t>
  </si>
  <si>
    <t>CLM-10690,2024-07-12,2024-10-07,2025-03-21,54428.75</t>
  </si>
  <si>
    <t>CLM-10119,2022-11-23,2023-01-07,2023-03-25,12607.09</t>
  </si>
  <si>
    <t>CLM-10562,2021-06-21,,2022-05-04,68143.64</t>
  </si>
  <si>
    <t>CLM-10592,2024-02-09,2024-04-20,2024-05-16,25447.95</t>
  </si>
  <si>
    <t>CLM-10736,2021-11-10,2022-01-29,2022-10-14,77818.71</t>
  </si>
  <si>
    <t>CLM-10641,2020-01-14,2020-04-05,2021-03-03,30599.34</t>
  </si>
  <si>
    <t>CLM-10063,2021-08-14,2021-10-09,2021-12-13,3268.62</t>
  </si>
  <si>
    <t>CLM-10233,2020-07-08,2020-08-20,2020-11-29,-7370.24</t>
  </si>
  <si>
    <t>CLM-10007,2022-12-13,2023-01-27,2023-10-08,59098.35</t>
  </si>
  <si>
    <t>CLM-10080,2021-02-18,2021-03-21,2021-05-21,68061.35</t>
  </si>
  <si>
    <t>CLM-10210,2021-07-05,2021-08-03,2022-01-13,-12495.9</t>
  </si>
  <si>
    <t>CLM-10430,2020-05-28,2020-07-12,2020-12-18,5568.0</t>
  </si>
  <si>
    <t>CLM-10184,2020-12-27,2021-01-30,2022-09-04,52615.68</t>
  </si>
  <si>
    <t>CLM-10288,2022-02-17,2022-04-07,2022-09-06,22519.75</t>
  </si>
  <si>
    <t>CLM-10034,2023-04-03,2023-06-25,2023-11-25,-5333.79</t>
  </si>
  <si>
    <t>CLM-10197,2024-05-10,2024-07-05,2025-02-12,-19294.27</t>
  </si>
  <si>
    <t>CLM-10267,2020-04-20,2020-04-21,2021-03-18,-13554.0</t>
  </si>
  <si>
    <t>CLM-10747,2023-06-05,,2024-05-16,30998.54</t>
  </si>
  <si>
    <t>CLM-10385,2023-09-23,2023-11-26,2024-04-17,67480.73</t>
  </si>
  <si>
    <t>CLM-10617,2020-07-28,2020-08-07,2020-12-18,2839.02</t>
  </si>
  <si>
    <t>CLM-10374,2022-01-12,2022-02-11,2022-09-20,79606.47</t>
  </si>
  <si>
    <t>CLM-10547,2020-11-28,2021-02-13,2021-03-01,77903.55</t>
  </si>
  <si>
    <t>CLM-10383,2023-06-20,2023-07-10,2023-09-08,59193.11</t>
  </si>
  <si>
    <t>CLM-10174,2021-12-04,2022-01-29,2022-03-17,54243.78</t>
  </si>
  <si>
    <t>CLM-10426,2023-10-14,2023-11-25,2023-09-11,13015.09</t>
  </si>
  <si>
    <t>CLM-10597,2021-08-12,2021-09-02,2021-07-04,40819.55</t>
  </si>
  <si>
    <t>CLM-10410,2023-09-28,2023-12-10,2025-01-28,-8211.69</t>
  </si>
  <si>
    <t>CLM-10427,2021-02-16,2021-04-15,2021-12-14,17926.4</t>
  </si>
  <si>
    <t>CLM-10147,2022-06-21,2022-07-10,2022-08-04,15295.74</t>
  </si>
  <si>
    <t>CLM-10795,2020-01-24,2020-03-06,2021-10-30,22792.93</t>
  </si>
  <si>
    <t>CLM-10279,2023-10-19,2023-12-06,2024-10-21,20384.14</t>
  </si>
  <si>
    <t>CLM-10732,2024-04-29,2024-05-02,2024-07-29,4432.73</t>
  </si>
  <si>
    <t>CLM-10678,2022-12-22,2023-03-11,2023-04-11,-22282.32</t>
  </si>
  <si>
    <t>CLM-10191,2024-10-23,,2025-01-18,51033.06</t>
  </si>
  <si>
    <t>CLM-10179,2022-05-13,2022-07-28,2023-08-28,55924.47</t>
  </si>
  <si>
    <t>CLM-10595,2023-12-26,2024-01-15,2024-06-05,2861.36</t>
  </si>
  <si>
    <t>CLM-10220,2022-09-04,2022-09-22,2023-02-07,31572.29</t>
  </si>
  <si>
    <t>CLM-10427,2021-02-16,2021-04-15,2021-09-01,81344.31</t>
  </si>
  <si>
    <t>CLM-10224,2020-11-06,2021-01-11,2022-04-10,77608.18</t>
  </si>
  <si>
    <t>CLM-10704,2022-10-31,2022-12-12,2023-11-03,-17891.65</t>
  </si>
  <si>
    <t>CLM-10175,2021-11-06,2021-11-19,2022-02-06,24165.72</t>
  </si>
  <si>
    <t>CLM-10664,2022-09-26,2022-10-13,2023-03-16,-16735.52</t>
  </si>
  <si>
    <t>CLM-10295,2020-09-24,2020-10-28,2021-07-10,47688.86</t>
  </si>
  <si>
    <t>CLM-10172,2022-02-17,2022-04-25,2023-04-05,20407.13</t>
  </si>
  <si>
    <t>CLM-10481,2021-01-06,2021-02-20,2021-08-18,48433.15</t>
  </si>
  <si>
    <t>CLM-10712,2021-04-08,2021-04-18,2021-09-28,83898.78</t>
  </si>
  <si>
    <t>CLM-10046,2020-05-07,2020-07-18,2021-02-05,33417.74</t>
  </si>
  <si>
    <t>CLM-10721,2022-05-11,,2022-11-10,26165.02</t>
  </si>
  <si>
    <t>CLM-10527,2020-04-29,2020-06-28,2021-01-01,22658.61</t>
  </si>
  <si>
    <t>CLM-10637,2024-09-24,2024-11-28,2025-02-15,-6032.06</t>
  </si>
  <si>
    <t>CLM-10042,2020-07-23,2020-09-27,2021-04-22,56937.62</t>
  </si>
  <si>
    <t>CLM-10671,2022-12-18,2023-01-16,2023-05-06,41807.11</t>
  </si>
  <si>
    <t>CLM-10231,2021-01-02,2021-02-19,2021-10-15,21689.12</t>
  </si>
  <si>
    <t>CLM-10384,2022-07-02,2022-08-08,2023-01-12,26300.32</t>
  </si>
  <si>
    <t>CLM-10712,2021-04-08,2021-04-18,2022-01-08,78333.88</t>
  </si>
  <si>
    <t>CLM-10396,2024-11-11,2024-11-28,2025-02-10,50044.58</t>
  </si>
  <si>
    <t>CLM-10128,2022-01-16,2022-01-26,2023-02-23,77630.22</t>
  </si>
  <si>
    <t>CLM-10139,2024-01-29,2024-02-27,2024-08-02,55913.92</t>
  </si>
  <si>
    <t>CLM-10651,2023-02-21,2023-04-08,2024-05-22,-8090.47</t>
  </si>
  <si>
    <t>CLM-10646,2021-06-05,2021-08-10,2021-09-15,56446.96</t>
  </si>
  <si>
    <t>CLM-10735,2024-09-02,2024-10-21,2025-04-11,74731.63</t>
  </si>
  <si>
    <t>CLM-10110,2024-02-24,2024-04-23,2024-08-25,36231.44</t>
  </si>
  <si>
    <t>CLM-10771,2022-08-19,2022-09-08,2023-08-25,20694.82</t>
  </si>
  <si>
    <t>CLM-10434,2022-06-13,2022-08-11,2023-02-28,3871.49</t>
  </si>
  <si>
    <t>CLM-10143,2023-08-12,2023-09-15,2024-03-20,35291.14</t>
  </si>
  <si>
    <t>CLM-10736,2021-11-10,2022-01-29,2023-05-28,16203.68</t>
  </si>
  <si>
    <t>CLM-10695,2023-05-05,2023-08-01,2023-09-02,23551.65</t>
  </si>
  <si>
    <t>CLM-10688,2020-01-02,2020-02-21,2020-12-27,9416.95</t>
  </si>
  <si>
    <t>CLM-10176,2023-10-06,2023-11-14,2024-07-22,22251.21</t>
  </si>
  <si>
    <t>CLM-10228,2020-02-22,2020-03-12,2020-09-28,13681.65</t>
  </si>
  <si>
    <t>CLM-10276,2022-06-03,2022-08-28,2022-11-18,5456.28</t>
  </si>
  <si>
    <t>CLM-10442,2024-07-27,2024-09-16,2025-03-16,8617.01</t>
  </si>
  <si>
    <t>CLM-10772,2022-08-10,2022-11-07,2023-02-19,80284.83</t>
  </si>
  <si>
    <t>CLM-10171,2021-09-13,2021-11-10,2022-08-16,78082.36</t>
  </si>
  <si>
    <t>CLM-10572,2022-01-05,2022-02-10,2022-08-20,66298.42</t>
  </si>
  <si>
    <t>CLM-10543,2024-10-06,2024-12-26,2025-03-16,53397.23</t>
  </si>
  <si>
    <t>CLM-10258,2022-09-21,2022-12-07,2023-01-26,52854.54</t>
  </si>
  <si>
    <t>CLM-10707,2020-02-20,2020-04-20,2020-11-04,-18997.85</t>
  </si>
  <si>
    <t>CLM-10620,2024-02-20,2024-05-19,2024-12-08,47557.62</t>
  </si>
  <si>
    <t>CLM-10046,2020-05-07,2020-07-18,2021-08-25,64228.56</t>
  </si>
  <si>
    <t>CLM-10710,2021-03-15,2021-05-31,2022-03-01,77456.34</t>
  </si>
  <si>
    <t>CLM-10524,2021-07-10,2021-08-06,2023-01-13,78607.28</t>
  </si>
  <si>
    <t>CLM-10744,2020-01-22,2020-03-10,2020-09-24,46447.76</t>
  </si>
  <si>
    <t>CLM-10683,2021-08-10,2021-09-20,2022-04-15,2865.1</t>
  </si>
  <si>
    <t>CLM-10621,2020-01-13,2020-03-06,2020-07-19,34514.21</t>
  </si>
  <si>
    <t>CLM-10435,2024-07-25,2024-08-21,2024-10-29,8978.64</t>
  </si>
  <si>
    <t>CLM-10530,2022-10-23,2022-12-13,2023-07-16,42860.21</t>
  </si>
  <si>
    <t>CLM-10127,2023-07-03,2023-07-11,2024-08-16,18611.99</t>
  </si>
  <si>
    <t>CLM-10279,2023-10-19,2023-12-06,2024-04-24,79226.41</t>
  </si>
  <si>
    <t>CLM-10292,2020-04-20,2020-05-25,2022-07-22,29728.32</t>
  </si>
  <si>
    <t>CLM-10215,2022-05-18,2022-06-05,2022-09-04,11413.08</t>
  </si>
  <si>
    <t>CLM-10020,2024-05-09,2024-07-13,2024-12-22,51434.41</t>
  </si>
  <si>
    <t>CLM-10111,2020-11-05,2020-11-09,2021-08-20,18620.96</t>
  </si>
  <si>
    <t>CLM-10746,2024-05-04,2024-05-28,2024-10-13,41660.98</t>
  </si>
  <si>
    <t>CLM-10743,2023-05-19,2023-08-15,2024-10-08,4063.87</t>
  </si>
  <si>
    <t>CLM-10328,2024-10-02,2024-11-16,2024-12-26,78385.83</t>
  </si>
  <si>
    <t>CLM-10237,2024-04-20,2024-05-30,2025-01-10,78198.61</t>
  </si>
  <si>
    <t>CLM-10693,2024-03-20,2024-03-24,2024-08-13,25326.53</t>
  </si>
  <si>
    <t>CLM-10636,2023-03-31,2023-05-03,2023-10-06,68713.56</t>
  </si>
  <si>
    <t>CLM-10347,2022-05-24,2022-07-31,2022-10-02,41538.09</t>
  </si>
  <si>
    <t>CLM-10685,2020-03-16,2020-03-17,2021-05-12,11029.61</t>
  </si>
  <si>
    <t>CLM-10711,2023-08-15,2023-08-27,2024-02-03,80339.44</t>
  </si>
  <si>
    <t>CLM-10530,2022-10-23,2022-12-13,2023-02-03,62147.53</t>
  </si>
  <si>
    <t>CLM-10413,2022-01-25,2022-02-14,2022-05-18,81562.2</t>
  </si>
  <si>
    <t>CLM-10069,2022-06-08,2022-06-14,2022-09-22,37308.31</t>
  </si>
  <si>
    <t>CLM-10325,2023-06-18,2023-08-06,2023-10-19,12087.45</t>
  </si>
  <si>
    <t>CLM-10152,2021-03-28,2021-04-15,2022-01-12,-13296.38</t>
  </si>
  <si>
    <t>CLM-10413,2022-01-25,2022-02-14,2022-09-30,71577.92</t>
  </si>
  <si>
    <t>CLM-10041,2023-01-01,2023-02-09,2023-07-02,64011.07</t>
  </si>
  <si>
    <t>CLM-10151,2022-07-14,2022-09-25,2023-01-31,65292.86</t>
  </si>
  <si>
    <t>CLM-10502,2021-03-22,2021-05-05,2021-12-16,81080.5</t>
  </si>
  <si>
    <t>CLM-10783,2023-05-31,2023-07-12,2025-05-24,43255.77</t>
  </si>
  <si>
    <t>CLM-10758,2021-01-31,2021-03-23,2022-10-16,11698.55</t>
  </si>
  <si>
    <t>CLM-10604,2021-06-20,2021-09-11,2022-01-27,59559.45</t>
  </si>
  <si>
    <t>CLM-10354,2022-12-21,2022-12-23,2024-04-17,77254.39</t>
  </si>
  <si>
    <t>CLM-10248,2023-10-17,2023-12-17,2025-04-04,12147.43</t>
  </si>
  <si>
    <t>CLM-10252,2022-08-02,2022-10-01,2023-09-07,62811.8</t>
  </si>
  <si>
    <t>CLM-10136,2024-05-01,2024-06-03,2025-02-24,63118.33</t>
  </si>
  <si>
    <t>CLM-10644,2023-02-01,2023-02-17,2024-05-18,61390.0</t>
  </si>
  <si>
    <t>CLM-10273,2023-04-03,2023-06-24,2023-07-28,3542.48</t>
  </si>
  <si>
    <t>CLM-10434,2022-06-13,2022-08-11,2022-09-05,-10798.3</t>
  </si>
  <si>
    <t>CLM-10023,2021-07-05,2021-07-16,2021-08-11,67754.73</t>
  </si>
  <si>
    <t>CLM-10411,2020-05-25,,2021-02-09,16951.52</t>
  </si>
  <si>
    <t>CLM-10480,2020-05-23,2020-06-17,2021-01-05,-14643.33</t>
  </si>
  <si>
    <t>CLM-10106,2021-12-04,2022-01-01,2022-06-29,23154.03</t>
  </si>
  <si>
    <t>CLM-10499,2023-01-08,2023-03-19,2024-07-22,70024.59</t>
  </si>
  <si>
    <t>CLM-10194,2024-08-10,2024-08-16,2025-01-29,36646.96</t>
  </si>
  <si>
    <t>CLM-10320,2021-06-30,2021-07-13,2021-12-21,41303.27</t>
  </si>
  <si>
    <t>CLM-10436,2023-05-21,2023-07-01,2024-05-20,62557.78</t>
  </si>
  <si>
    <t>CLM-10317,2022-04-02,2022-05-07,2022-10-02,9763.55</t>
  </si>
  <si>
    <t>CLM-10409,2021-12-02,2022-02-15,2022-07-26,81166.96</t>
  </si>
  <si>
    <t>CLM-10456,2021-11-29,2021-12-08,2022-03-22,32261.47</t>
  </si>
  <si>
    <t>CLM-10083,2024-08-13,2024-09-09,2025-03-10,42280.3</t>
  </si>
  <si>
    <t>CLM-10352,2021-03-05,2021-04-15,2021-06-25,28791.99</t>
  </si>
  <si>
    <t>CLM-10744,2020-01-22,2020-03-10,2020-04-21,2291.02</t>
  </si>
  <si>
    <t>CLM-10221,2022-02-14,2022-04-25,2022-07-02,25643.51</t>
  </si>
  <si>
    <t>CLM-10224,2020-11-06,2021-01-11,2022-01-15,63442.55</t>
  </si>
  <si>
    <t>CLM-10338,2021-07-24,2021-08-15,2022-06-10,32610.99</t>
  </si>
  <si>
    <t>CLM-10270,2023-06-06,2023-08-19,2023-10-27,63304.95</t>
  </si>
  <si>
    <t>CLM-10125,2021-02-23,2021-02-24,2021-11-10,48869.16</t>
  </si>
  <si>
    <t>CLM-10200,2020-01-10,2020-02-20,2020-05-15,-23581.24</t>
  </si>
  <si>
    <t>CLM-10578,2023-04-08,,2023-08-05,74194.43</t>
  </si>
  <si>
    <t>CLM-10674,2024-02-22,2024-04-09,2024-08-22,29075.12</t>
  </si>
  <si>
    <t>CLM-10758,2021-01-31,2021-03-23,2022-04-14,2787.3</t>
  </si>
  <si>
    <t>CLM-10030,2023-06-22,2023-07-19,2023-09-21,66076.15</t>
  </si>
  <si>
    <t>CLM-10004,2023-06-08,2023-07-08,2024-03-17,12300.33</t>
  </si>
  <si>
    <t>CLM-10712,2021-04-08,2021-04-18,2021-03-28,50647.06</t>
  </si>
  <si>
    <t>CLM-10143,2023-08-12,2023-09-15,2025-03-13,-7822.91</t>
  </si>
  <si>
    <t>CLM-10574,2023-10-04,2023-10-24,2024-03-31,74026.54</t>
  </si>
  <si>
    <t>CLM-10415,2021-08-30,2021-11-09,2023-05-23,40000.94</t>
  </si>
  <si>
    <t>CLM-10572,2022-01-05,2022-02-10,2022-11-01,-15661.26</t>
  </si>
  <si>
    <t>CLM-10421,2021-02-14,2021-03-17,2022-03-18,-19707.95</t>
  </si>
  <si>
    <t>CLM-10133,2023-07-29,2023-10-10,2024-03-04,33721.62</t>
  </si>
  <si>
    <t>CLM-10375,2021-01-24,2021-04-03,2021-08-27,74771.95</t>
  </si>
  <si>
    <t>CLM-10233,2020-07-08,2020-08-20,2021-02-25,42765.9</t>
  </si>
  <si>
    <t>CLM-10786,2023-02-07,2023-04-13,2024-10-01,49350.81</t>
  </si>
  <si>
    <t>CLM-10199,2021-11-26,,2022-08-08,11593.64</t>
  </si>
  <si>
    <t>CLM-10577,2020-09-26,2020-12-22,2021-06-17,54946.79</t>
  </si>
  <si>
    <t>CLM-10647,2023-10-11,2023-12-29,2024-02-11,46725.05</t>
  </si>
  <si>
    <t>CLM-10703,2020-11-03,2021-01-20,2021-10-04,24355.71</t>
  </si>
  <si>
    <t>CLM-10234,2023-07-23,2023-09-20,2024-09-30,45040.38</t>
  </si>
  <si>
    <t>CLM-10702,2022-07-14,2022-07-29,2023-05-18,22952.48</t>
  </si>
  <si>
    <t>CLM-10199,2021-11-26,,2022-06-08,71367.98</t>
  </si>
  <si>
    <t>CLM-10445,2021-07-18,2021-08-18,2022-01-22,70363.53</t>
  </si>
  <si>
    <t>CLM-10478,2020-09-23,2020-12-14,2021-06-19,10789.03</t>
  </si>
  <si>
    <t>CLM-10193,2023-03-03,2023-05-29,2024-06-04,74893.32</t>
  </si>
  <si>
    <t>CLM-10168,2023-07-28,2023-08-10,2023-10-28,61988.09</t>
  </si>
  <si>
    <t>CLM-10421,2021-02-14,2021-03-17,2022-06-20,-14425.76</t>
  </si>
  <si>
    <t>CLM-10227,2023-10-02,,2024-02-19,4246.52</t>
  </si>
  <si>
    <t>CLM-10114,2022-11-15,2023-01-03,2023-03-10,3496.83</t>
  </si>
  <si>
    <t>CLM-10487,2021-03-17,2021-05-22,2022-06-29,69414.29</t>
  </si>
  <si>
    <t>CLM-10018,2024-08-07,2024-10-08,2025-03-28,-16088.66</t>
  </si>
  <si>
    <t>CLM-10086,2023-08-01,2023-10-18,2024-09-12,-23447.88</t>
  </si>
  <si>
    <t>CLM-10017,2022-07-26,,2022-12-16,66682.85</t>
  </si>
  <si>
    <t>CLM-10171,2021-09-13,2021-11-10,2022-11-29,64205.36</t>
  </si>
  <si>
    <t>CLM-10711,2023-08-15,2023-08-27,2024-09-22,57277.42</t>
  </si>
  <si>
    <t>CLM-10528,2024-12-01,2025-01-02,2025-01-19,62617.08</t>
  </si>
  <si>
    <t>CLM-10584,2020-04-23,2020-05-02,2020-08-28,73031.78</t>
  </si>
  <si>
    <t>CLM-10096,2022-01-02,2022-01-10,2022-08-25,-14422.59</t>
  </si>
  <si>
    <t>CLM-10463,2022-07-08,2022-08-18,2023-07-07,77321.71</t>
  </si>
  <si>
    <t>CLM-10436,2023-05-21,2023-07-01,2023-11-19,75455.1</t>
  </si>
  <si>
    <t>CLM-10202,2022-04-25,2022-06-03,2022-07-13,53516.28</t>
  </si>
  <si>
    <t>CLM-10163,2022-04-05,2022-04-29,2023-02-07,73466.08</t>
  </si>
  <si>
    <t>CLM-10577,2020-09-26,2020-12-22,2021-09-11,50563.07</t>
  </si>
  <si>
    <t>CLM-10489,2021-06-29,2021-07-21,2022-07-13,79661.52</t>
  </si>
  <si>
    <t>CLM-10132,2020-11-29,2021-02-21,2021-05-03,61386.79</t>
  </si>
  <si>
    <t>CLM-10366,2023-03-21,2023-03-23,2023-09-29,30254.59</t>
  </si>
  <si>
    <t>CLM-10253,2021-09-30,2021-11-04,2022-08-24,48097.21</t>
  </si>
  <si>
    <t>CLM-10757,2021-02-20,2021-04-25,2021-10-12,-2023.74</t>
  </si>
  <si>
    <t>CLM-10741,2020-03-12,2020-05-26,2021-06-06,8415.02</t>
  </si>
  <si>
    <t>CLM-10638,2023-06-21,2023-09-09,2023-12-08,16191.14</t>
  </si>
  <si>
    <t>CLM-10553,2022-12-07,2023-02-16,2024-03-29,79448.03</t>
  </si>
  <si>
    <t>CLM-10212,2024-09-13,2024-09-22,2025-01-12,84340.68</t>
  </si>
  <si>
    <t>CLM-10097,2021-04-13,2021-06-26,2023-04-04,42211.83</t>
  </si>
  <si>
    <t>CLM-10510,2022-12-19,2023-01-26,2023-10-31,83040.94</t>
  </si>
  <si>
    <t>CLM-10037,2024-04-03,2024-05-26,2025-02-22,68267.64</t>
  </si>
  <si>
    <t>CLM-10254,2023-06-06,2023-06-14,2023-07-26,60303.13</t>
  </si>
  <si>
    <t>CLM-10288,2022-02-17,2022-04-07,2022-11-17,63755.63</t>
  </si>
  <si>
    <t>CLM-10336,2023-07-13,2023-07-30,2024-01-02,6052.23</t>
  </si>
  <si>
    <t>CLM-10788,2024-04-03,2024-06-24,2025-04-16,13338.61</t>
  </si>
  <si>
    <t>CLM-10434,2022-06-13,2022-08-11,2023-07-07,58986.14</t>
  </si>
  <si>
    <t>CLM-10562,2021-06-21,,2021-07-31,16214.82</t>
  </si>
  <si>
    <t>CLM-10503,2022-02-01,2022-04-13,2022-07-26,35286.94</t>
  </si>
  <si>
    <t>CLM-10729,2023-05-19,2023-07-10,2023-10-28,69019.27</t>
  </si>
  <si>
    <t>CLM-10661,2023-08-14,2023-08-18,2024-01-03,11412.63</t>
  </si>
  <si>
    <t>CLM-10002,2024-02-07,2024-02-13,2024-08-30,-9053.52</t>
  </si>
  <si>
    <t>CLM-10362,2022-08-27,2022-11-24,2023-01-21,49461.31</t>
  </si>
  <si>
    <t>CLM-10748,2020-07-19,2020-09-02,2020-12-12,76322.04</t>
  </si>
  <si>
    <t>CLM-10509,2021-08-11,2021-08-28,2021-11-17,51355.19</t>
  </si>
  <si>
    <t>CLM-10786,2023-02-07,2023-04-13,2024-02-26,-1831.91</t>
  </si>
  <si>
    <t>CLM-10587,2020-08-02,,2020-11-14,67096.82</t>
  </si>
  <si>
    <t>CLM-10746,2024-05-04,2024-05-28,2025-02-02,-18919.15</t>
  </si>
  <si>
    <t>CLM-10470,2022-01-27,2022-03-29,2022-10-23,11213.7</t>
  </si>
  <si>
    <t>CLM-10589,2020-01-24,2020-04-20,2021-08-11,67239.15</t>
  </si>
  <si>
    <t>CLM-10186,2020-04-14,2020-04-30,2020-11-06,25307.1</t>
  </si>
  <si>
    <t>CLM-10437,2021-01-18,2021-01-30,2021-06-12,26488.49</t>
  </si>
  <si>
    <t>CLM-10021,2021-03-18,2021-05-16,2022-05-01,-16992.77</t>
  </si>
  <si>
    <t>CLM-10564,2022-09-14,2022-09-24,2022-12-29,14586.07</t>
  </si>
  <si>
    <t>CLM-10652,2023-10-21,2023-12-11,2024-03-26,-17498.88</t>
  </si>
  <si>
    <t>CLM-10523,2021-06-09,2021-08-23,2022-01-28,75313.72</t>
  </si>
  <si>
    <t>CLM-10166,2022-06-27,2022-06-28,2022-08-02,-2636.75</t>
  </si>
  <si>
    <t>CLM-10163,2022-04-05,2022-04-29,2022-08-03,-15378.65</t>
  </si>
  <si>
    <t>CLM-10370,2023-07-19,2023-08-05,2024-05-28,16720.91</t>
  </si>
  <si>
    <t>CLM-10227,2023-10-02,,2025-02-17,19150.02</t>
  </si>
  <si>
    <t>CLM-10547,2020-11-28,2021-02-13,2022-07-15,33900.44</t>
  </si>
  <si>
    <t>CLM-10400,2023-01-01,2023-01-11,2023-07-10,-21396.09</t>
  </si>
  <si>
    <t>CLM-10757,2021-02-20,2021-04-25,2022-03-01,42932.0</t>
  </si>
  <si>
    <t>CLM-10108,2020-10-11,2020-12-27,2022-01-19,77558.59</t>
  </si>
  <si>
    <t>CLM-10197,2024-05-10,2024-07-05,2024-10-25,62315.16</t>
  </si>
  <si>
    <t>CLM-10747,2023-06-05,,2023-11-04,48860.25</t>
  </si>
  <si>
    <t>CLM-10058,2021-04-10,2021-04-27,2021-08-18,40377.48</t>
  </si>
  <si>
    <t>CLM-10632,2020-11-27,2021-02-19,2021-09-02,10516.25</t>
  </si>
  <si>
    <t>CLM-10734,2020-05-02,2020-06-10,2020-11-03,44606.52</t>
  </si>
  <si>
    <t>CLM-10211,2020-09-28,2020-12-13,2021-03-09,63962.99</t>
  </si>
  <si>
    <t>CLM-10055,2022-02-19,2022-05-07,2022-07-24,81210.99</t>
  </si>
  <si>
    <t>CLM-10205,2020-05-07,2020-05-31,2021-03-19,83135.2</t>
  </si>
  <si>
    <t>CLM-10788,2024-04-03,2024-06-24,2024-11-11,71109.61</t>
  </si>
  <si>
    <t>CLM-10741,2020-03-12,2020-05-26,2021-02-03,55280.3</t>
  </si>
  <si>
    <t>CLM-10043,2022-09-09,2022-10-08,2023-09-05,-3040.98</t>
  </si>
  <si>
    <t>CLM-10285,2020-12-02,2021-02-21,2021-10-16,36080.19</t>
  </si>
  <si>
    <t>CLM-10310,2020-01-04,2020-02-18,2020-06-12,24689.89</t>
  </si>
  <si>
    <t>CLM-10760,2024-07-12,2024-09-21,2025-02-19,26454.64</t>
  </si>
  <si>
    <t>CLM-10749,2021-05-21,2021-06-26,2022-05-20,14848.07</t>
  </si>
  <si>
    <t>CLM-10383,2023-06-20,2023-07-10,2024-11-19,52476.28</t>
  </si>
  <si>
    <t>CLM-10274,2020-02-29,2020-03-14,2020-08-20,9646.16</t>
  </si>
  <si>
    <t>CLM-10370,2023-07-19,2023-08-05,2024-03-26,83834.45</t>
  </si>
  <si>
    <t>CLM-10713,2021-07-28,2021-07-30,2022-08-02,23785.37</t>
  </si>
  <si>
    <t>CLM-10482,2024-02-01,2024-02-23,2025-01-08,66309.72</t>
  </si>
  <si>
    <t>CLM-10580,2021-09-03,2021-10-13,2022-07-23,-9159.33</t>
  </si>
  <si>
    <t>CLM-10731,2020-04-05,2020-05-31,2021-05-30,6113.06</t>
  </si>
  <si>
    <t>CLM-10137,2023-01-10,2023-02-11,2024-02-29,83003.45</t>
  </si>
  <si>
    <t>CLM-10191,2024-10-23,,2024-11-12,7174.9</t>
  </si>
  <si>
    <t>CLM-10153,2021-02-21,2021-03-24,2021-09-11,40284.71</t>
  </si>
  <si>
    <t>CLM-10206,2022-09-16,2022-12-11,2024-04-07,84692.16</t>
  </si>
  <si>
    <t>CLM-10238,2022-03-09,2022-03-10,2022-09-24,2515.49</t>
  </si>
  <si>
    <t>CLM-10040,2022-01-05,,2022-03-29,69406.4</t>
  </si>
  <si>
    <t>CLM-10314,2021-08-08,2021-10-17,2022-01-19,22033.86</t>
  </si>
  <si>
    <t>CLM-10558,2021-01-02,2021-03-02,2022-04-09,18988.71</t>
  </si>
  <si>
    <t>CLM-10046,2020-05-07,2020-07-18,2021-02-23,72729.84</t>
  </si>
  <si>
    <t>CLM-10125,2021-02-23,2021-02-24,2022-02-28,38897.72</t>
  </si>
  <si>
    <t>CLM-10738,2020-12-21,2021-02-27,2021-09-01,66377.66</t>
  </si>
  <si>
    <t>CLM-10662,2024-05-07,2024-07-07,2024-10-16,38966.15</t>
  </si>
  <si>
    <t>CLM-10659,2022-08-28,2022-09-06,2023-01-31,2260.29</t>
  </si>
  <si>
    <t>CLM-10338,2021-07-24,2021-08-15,2021-10-15,42922.08</t>
  </si>
  <si>
    <t>CLM-10521,2022-01-05,2022-02-05,2022-12-09,33405.24</t>
  </si>
  <si>
    <t>CLM-10743,2023-05-19,2023-08-15,2024-12-15,34010.34</t>
  </si>
  <si>
    <t>CLM-10484,2023-01-23,2023-03-30,2024-07-29,29746.35</t>
  </si>
  <si>
    <t>CLM-10180,2022-02-23,2022-04-26,2022-08-14,-7873.87</t>
  </si>
  <si>
    <t>CLM-10051,2021-10-02,2021-12-29,2022-02-28,-19670.4</t>
  </si>
  <si>
    <t>CLM-10028,2020-03-02,2020-05-30,2021-05-15,76736.62</t>
  </si>
  <si>
    <t>CLM-10547,2020-11-28,2021-02-13,2022-01-06,17526.33</t>
  </si>
  <si>
    <t>CLM-10560,2022-09-25,2022-10-20,2024-08-08,6922.13</t>
  </si>
  <si>
    <t>CLM-10756,2022-07-31,2022-08-17,2023-11-08,-19040.26</t>
  </si>
  <si>
    <t>CLM-10448,2023-10-06,2023-12-15,2024-03-10,-3812.25</t>
  </si>
  <si>
    <t>CLM-10123,2022-08-08,2022-10-14,2023-07-17,-22483.15</t>
  </si>
  <si>
    <t>CLM-10535,2024-04-14,2024-06-12,2025-03-25,40687.43</t>
  </si>
  <si>
    <t>CLM-10705,2021-11-18,2022-01-29,2023-06-15,54968.26</t>
  </si>
  <si>
    <t>CLM-10492,2024-02-27,2024-04-15,2024-05-21,70832.07</t>
  </si>
  <si>
    <t>CLM-10187,2020-07-28,2020-08-05,2021-02-15,28606.58</t>
  </si>
  <si>
    <t>CLM-10332,2023-04-25,2023-06-10,2024-01-21,82082.49</t>
  </si>
  <si>
    <t>CLM-10399,2024-03-13,2024-05-31,2024-06-17,66061.58</t>
  </si>
  <si>
    <t>CLM-10473,2021-02-10,2021-04-08,2022-01-28,54598.68</t>
  </si>
  <si>
    <t>CLM-10157,2020-12-19,2021-01-27,2021-06-05,-8435.69</t>
  </si>
  <si>
    <t>CLM-10510,2022-12-19,2023-01-26,2024-04-27,64152.18</t>
  </si>
  <si>
    <t>CLM-10675,2023-03-27,2023-04-08,2024-02-22,50860.25</t>
  </si>
  <si>
    <t>CLM-10296,2021-12-26,2022-02-17,2022-07-07,83193.33</t>
  </si>
  <si>
    <t>CLM-10447,2024-09-25,2024-11-10,2025-02-24,-1657.96</t>
  </si>
  <si>
    <t>CLM-10107,2024-10-02,2024-11-14,2025-01-07,-23810.96</t>
  </si>
  <si>
    <t>CLM-10275,2023-10-12,2023-12-31,2025-01-31,79418.87</t>
  </si>
  <si>
    <t>CLM-10140,2021-08-19,2021-09-23,2021-07-19,56745.99</t>
  </si>
  <si>
    <t>CLM-10111,2020-11-05,2020-11-09,2021-02-13,18465.35</t>
  </si>
  <si>
    <t>CLM-10406,2020-04-05,,2020-11-13,14282.49</t>
  </si>
  <si>
    <t>CLM-10418,2021-10-26,2021-11-30,2022-05-14,18032.0</t>
  </si>
  <si>
    <t>CLM-10590,2021-10-14,2021-12-28,2022-01-25,76054.27</t>
  </si>
  <si>
    <t>CLM-10103,2022-07-01,2022-07-12,2022-10-26,30516.64</t>
  </si>
  <si>
    <t>CLM-10536,2024-09-19,2024-11-22,2025-02-10,46021.82</t>
  </si>
  <si>
    <t>CLM-10345,2024-10-28,2024-12-15,2025-02-07,31813.3</t>
  </si>
  <si>
    <t>CLM-10761,2022-05-24,2022-07-03,2023-08-27,19019.9</t>
  </si>
  <si>
    <t>CLM-10255,2020-09-29,2020-10-29,2021-12-12,81701.67</t>
  </si>
  <si>
    <t>CLM-10708,2021-11-16,2021-12-23,2023-04-09,-12840.61</t>
  </si>
  <si>
    <t>CLM-10545,2022-06-02,2022-07-17,2022-11-07,70370.19</t>
  </si>
  <si>
    <t>CLM-10764,2022-11-07,2023-02-03,2024-09-11,81365.02</t>
  </si>
  <si>
    <t>CLM-10326,2021-03-08,2021-05-20,2021-07-18,2197.74</t>
  </si>
  <si>
    <t>CLM-10193,2023-03-03,2023-05-29,2024-03-12,42681.62</t>
  </si>
  <si>
    <t>CLM-10626,2023-01-05,,2023-08-11,-2606.51</t>
  </si>
  <si>
    <t>CLM-10723,2024-02-26,2024-03-30,2024-09-21,7545.9</t>
  </si>
  <si>
    <t>CLM-10597,2021-08-12,2021-09-02,2022-01-13,66143.29</t>
  </si>
  <si>
    <t>CLM-10231,2021-01-02,2021-02-19,2021-06-24,43178.46</t>
  </si>
  <si>
    <t>CLM-10314,2021-08-08,2021-10-17,2022-07-19,30718.27</t>
  </si>
  <si>
    <t>CLM-10686,2023-11-14,2024-02-01,2025-04-25,82024.63</t>
  </si>
  <si>
    <t>CLM-10241,2021-01-14,2021-04-13,2022-04-27,-17095.22</t>
  </si>
  <si>
    <t>CLM-10726,2021-09-17,2021-11-10,2022-10-03,10649.69</t>
  </si>
  <si>
    <t>CLM-10515,2023-11-02,2023-12-02,2024-08-07,34506.3</t>
  </si>
  <si>
    <t>CLM-10323,2021-10-28,2021-12-09,2022-03-12,62273.04</t>
  </si>
  <si>
    <t>CLM-10125,2021-02-23,2021-02-24,2022-02-05,74027.43</t>
  </si>
  <si>
    <t>CLM-10036,2023-12-30,,2024-09-16,32089.28</t>
  </si>
  <si>
    <t>CLM-10507,2024-04-29,2024-05-01,2024-09-21,74522.32</t>
  </si>
  <si>
    <t>CLM-10208,2021-07-08,2021-08-11,2021-09-11,26403.5</t>
  </si>
  <si>
    <t>CLM-10762,2022-06-10,2022-06-15,2022-12-06,4694.54</t>
  </si>
  <si>
    <t>CLM-10418,2021-10-26,2021-11-30,2022-09-23,32861.83</t>
  </si>
  <si>
    <t>CLM-10068,2024-11-18,2024-12-09,2025-01-12,44757.77</t>
  </si>
  <si>
    <t>CLM-10548,2022-04-03,,2022-05-01,47086.33</t>
  </si>
  <si>
    <t>CLM-10322,2023-07-04,2023-09-21,2024-09-03,45484.23</t>
  </si>
  <si>
    <t>CLM-10224,2020-11-06,2021-01-11,2023-01-14,62790.14</t>
  </si>
  <si>
    <t>CLM-10388,2022-03-12,2022-03-21,2022-08-07,32422.16</t>
  </si>
  <si>
    <t>CLM-10095,2020-09-01,2020-11-10,2021-03-09,74390.95</t>
  </si>
  <si>
    <t>CLM-10385,2023-09-23,2023-11-26,2024-10-27,83630.11</t>
  </si>
  <si>
    <t>CLM-10451,2022-11-29,2023-01-10,2023-12-10,19616.88</t>
  </si>
  <si>
    <t>CLM-10580,2021-09-03,2021-10-13,2022-04-10,79238.72</t>
  </si>
  <si>
    <t>CLM-10527,2020-04-29,2020-06-28,2020-10-20,15418.22</t>
  </si>
  <si>
    <t>CLM-10764,2022-11-07,2023-02-03,2023-09-21,41226.56</t>
  </si>
  <si>
    <t>CLM-10234,2023-07-23,2023-09-20,2024-05-15,64580.85</t>
  </si>
  <si>
    <t>CLM-10289,2021-10-20,2021-12-22,2022-06-23,17808.0</t>
  </si>
  <si>
    <t>CLM-10106,2021-12-04,2022-01-01,2022-09-28,20756.32</t>
  </si>
  <si>
    <t>CLM-10090,2020-03-13,2020-06-01,2021-05-07,60647.03</t>
  </si>
  <si>
    <t>CLM-10386,2021-05-24,2021-05-31,2021-10-30,14159.1</t>
  </si>
  <si>
    <t>CLM-10208,2021-07-08,2021-08-11,2021-11-24,-19688.34</t>
  </si>
  <si>
    <t>CLM-10514,2020-07-07,2020-08-22,2021-01-04,-13392.52</t>
  </si>
  <si>
    <t>CLM-10109,2020-09-29,2020-10-24,2021-02-12,-2572.17</t>
  </si>
  <si>
    <t>CLM-10059,2021-03-28,,2021-09-24,42622.07</t>
  </si>
  <si>
    <t>CLM-10035,2023-06-12,2023-08-11,2024-07-02,50990.26</t>
  </si>
  <si>
    <t>CLM-10134,2021-03-30,2021-05-13,2021-10-13,58742.35</t>
  </si>
  <si>
    <t>CLM-10127,2023-07-03,2023-07-11,2023-10-17,65438.2</t>
  </si>
  <si>
    <t>CLM-10740,2022-08-24,2022-10-06,2022-11-15,-15635.45</t>
  </si>
  <si>
    <t>CLM-10317,2022-04-02,2022-05-07,2022-12-08,-16600.93</t>
  </si>
  <si>
    <t>CLM-10619,2022-07-06,2022-07-10,2023-09-05,44043.1</t>
  </si>
  <si>
    <t>CLM-10492,2024-02-27,2024-04-15,2024-11-26,60409.04</t>
  </si>
  <si>
    <t>CLM-10562,2021-06-21,,2021-11-19,15436.23</t>
  </si>
  <si>
    <t>CLM-10331,2020-01-09,2020-01-20,2020-07-26,-1405.13</t>
  </si>
  <si>
    <t>CLM-10499,2023-01-08,2023-03-19,2024-06-28,49474.74</t>
  </si>
  <si>
    <t>CLM-10299,2024-06-04,2024-07-08,2025-04-21,82849.5</t>
  </si>
  <si>
    <t>CLM-10712,2021-04-08,2021-04-18,2021-11-28,63535.69</t>
  </si>
  <si>
    <t>CLM-10407,2021-01-21,2021-04-02,2021-09-21,37323.95</t>
  </si>
  <si>
    <t>CLM-10025,2023-04-02,2023-06-03,2024-02-13,55977.44</t>
  </si>
  <si>
    <t>CLM-10764,2022-11-07,2023-02-03,2023-04-11,25958.15</t>
  </si>
  <si>
    <t>CLM-10659,2022-08-28,2022-09-06,2022-11-13,53862.64</t>
  </si>
  <si>
    <t>CLM-10487,2021-03-17,2021-05-22,2021-09-26,71152.26</t>
  </si>
  <si>
    <t>CLM-10738,2020-12-21,2021-02-27,2021-12-17,78001.17</t>
  </si>
  <si>
    <t>CLM-10514,2020-07-07,2020-08-22,2021-04-18,27448.29</t>
  </si>
  <si>
    <t>CLM-10589,2020-01-24,2020-04-20,2020-12-17,8423.56</t>
  </si>
  <si>
    <t>CLM-10782,2023-12-30,2024-01-19,2025-05-03,63529.23</t>
  </si>
  <si>
    <t>CLM-10190,2023-03-18,2023-04-09,2023-08-09,-3252.84</t>
  </si>
  <si>
    <t>CLM-10148,2022-03-26,,2023-01-25,8778.63</t>
  </si>
  <si>
    <t>CLM-10620,2024-02-20,2024-05-19,2025-03-31,26143.61</t>
  </si>
  <si>
    <t>CLM-10496,2020-05-19,2020-07-28,2020-11-24,44502.37</t>
  </si>
  <si>
    <t>CLM-10606,2022-04-02,2022-05-23,2022-12-14,63900.13</t>
  </si>
  <si>
    <t>CLM-10122,2022-03-21,2022-06-08,2022-11-21,3430.15</t>
  </si>
  <si>
    <t>CLM-10468,2023-04-09,2023-05-27,2023-03-18,84946.4</t>
  </si>
  <si>
    <t>CLM-10143,2023-08-12,2023-09-15,2024-08-17,63254.84</t>
  </si>
  <si>
    <t>CLM-10290,2024-01-22,2024-02-13,2024-03-27,-14901.91</t>
  </si>
  <si>
    <t>CLM-10165,2020-11-01,2020-11-23,2021-08-30,5835.25</t>
  </si>
  <si>
    <t>CLM-10799,2021-09-10,2021-11-30,2023-01-04,67671.82</t>
  </si>
  <si>
    <t>CLM-10241,2021-01-14,2021-04-13,2022-02-09,66173.71</t>
  </si>
  <si>
    <t>CLM-10687,2023-06-22,2023-08-19,2023-11-08,16518.95</t>
  </si>
  <si>
    <t>CLM-10263,2022-05-02,2022-05-25,2023-02-21,-12450.55</t>
  </si>
  <si>
    <t>CLM-10684,2022-05-06,2022-06-26,2023-03-04,82349.92</t>
  </si>
  <si>
    <t>CLM-10188,2020-04-03,2020-05-28,2020-07-19,68236.01</t>
  </si>
  <si>
    <t>CLM-10002,2024-02-07,2024-02-13,2024-03-25,42891.74</t>
  </si>
  <si>
    <t>CLM-10615,2023-03-05,2023-03-13,2024-05-08,33893.15</t>
  </si>
  <si>
    <t>CLM-10177,2020-02-03,2020-03-24,2021-03-16,-8797.18</t>
  </si>
  <si>
    <t>CLM-10598,2021-10-02,2021-12-23,2022-04-30,63462.71</t>
  </si>
  <si>
    <t>CLM-10009,2022-02-22,2022-03-08,2023-06-10,5377.25</t>
  </si>
  <si>
    <t>CLM-10121,2024-09-12,2024-11-16,2025-01-12,-23203.37</t>
  </si>
  <si>
    <t>CLM-10539,2020-08-28,2020-11-18,2021-09-04,57347.35</t>
  </si>
  <si>
    <t>CLM-10327,2024-05-12,,2025-05-17,80910.46</t>
  </si>
  <si>
    <t>CLM-10177,2020-02-03,2020-03-24,2020-09-17,43098.23</t>
  </si>
  <si>
    <t>CLM-10107,2024-10-02,2024-11-14,2025-03-20,41712.82</t>
  </si>
  <si>
    <t>CLM-10416,2022-03-28,,2022-05-18,54740.45</t>
  </si>
  <si>
    <t>CLM-10568,2023-03-22,2023-04-04,2024-06-10,-15356.7</t>
  </si>
  <si>
    <t>CLM-10239,2023-09-22,2023-11-08,2024-11-30,54265.69</t>
  </si>
  <si>
    <t>CLM-10451,2022-11-29,2023-01-10,2023-07-07,30855.12</t>
  </si>
  <si>
    <t>CLM-10774,2021-09-02,2021-10-07,2022-03-20,71393.56</t>
  </si>
  <si>
    <t>CLM-10618,2023-06-28,2023-09-22,2023-11-19,72563.15</t>
  </si>
  <si>
    <t>CLM-10379,2020-05-27,2020-08-22,2021-10-08,40513.5</t>
  </si>
  <si>
    <t>CLM-10566,2020-10-13,2020-12-27,2021-05-13,78193.76</t>
  </si>
  <si>
    <t>CLM-10424,2022-05-03,2022-07-31,2022-08-18,-24948.9</t>
  </si>
  <si>
    <t>CLM-10630,2023-01-27,,2023-01-13,9638.17</t>
  </si>
  <si>
    <t>CLM-10025,2023-04-02,2023-06-03,2023-07-23,38817.89</t>
  </si>
  <si>
    <t>CLM-10781,2021-12-31,2022-01-08,2022-06-30,2978.53</t>
  </si>
  <si>
    <t>CLM-10520,2023-01-27,2023-04-12,2023-08-28,26674.94</t>
  </si>
  <si>
    <t>CLM-10261,2020-07-16,2020-08-28,2020-10-04,73817.32</t>
  </si>
  <si>
    <t>CLM-10749,2021-05-21,2021-06-26,2021-08-17,5741.61</t>
  </si>
  <si>
    <t>CLM-10585,2024-06-01,2024-08-16,2024-11-06,41620.68</t>
  </si>
  <si>
    <t>CLM-10160,2021-05-24,2021-06-29,2022-05-12,54700.92</t>
  </si>
  <si>
    <t>CLM-10343,2022-03-08,2022-05-10,2022-10-30,68435.8</t>
  </si>
  <si>
    <t>CLM-10715,2022-01-13,,2022-04-28,64371.22</t>
  </si>
  <si>
    <t>CLM-10732,2024-04-29,2024-05-02,2025-02-07,16028.37</t>
  </si>
  <si>
    <t>CLM-10200,2020-01-10,2020-02-20,2021-05-10,81432.47</t>
  </si>
  <si>
    <t>CLM-10210,2021-07-05,2021-08-03,2022-02-07,78475.18</t>
  </si>
  <si>
    <t>CLM-10057,2020-05-31,2020-06-23,2021-03-27,54040.08</t>
  </si>
  <si>
    <t>CLM-10109,2020-09-29,2020-10-24,2021-06-05,48874.06</t>
  </si>
  <si>
    <t>CLM-10341,2024-05-09,2024-06-16,2025-01-26,7462.27</t>
  </si>
  <si>
    <t>CLM-10266,2022-06-30,2022-08-20,2023-05-15,-24576.85</t>
  </si>
  <si>
    <t>CLM-10038,2023-10-06,2023-11-04,2024-01-20,5026.86</t>
  </si>
  <si>
    <t>CLM-10547,2020-11-28,2021-02-13,2021-07-06,14142.38</t>
  </si>
  <si>
    <t>CLM-10626,2023-01-05,,2024-01-06,6336.95</t>
  </si>
  <si>
    <t>CLM-10519,2022-08-18,2022-11-15,2022-12-18,20000.25</t>
  </si>
  <si>
    <t>CLM-10034,2023-04-03,2023-06-25,2024-03-09,30510.32</t>
  </si>
  <si>
    <t>CLM-10362,2022-08-27,2022-11-24,2023-05-01,35720.61</t>
  </si>
  <si>
    <t>CLM-10626,2023-01-05,,2023-05-08,17869.74</t>
  </si>
  <si>
    <t>CLM-10251,2022-04-20,2022-07-13,2022-12-15,47781.08</t>
  </si>
  <si>
    <t>CLM-10727,2024-01-16,2024-02-10,2024-08-20,50136.68</t>
  </si>
  <si>
    <t>CLM-10068,2024-11-18,2024-12-09,2025-03-07,82807.02</t>
  </si>
  <si>
    <t>CLM-10525,2020-01-15,2020-02-13,2021-04-03,-1770.32</t>
  </si>
  <si>
    <t>CLM-10488,2022-10-12,2023-01-02,2023-09-12,65802.59</t>
  </si>
  <si>
    <t>CLM-10060,2023-02-13,2023-03-14,2023-10-02,67588.63</t>
  </si>
  <si>
    <t>CLM-10323,2021-10-28,2021-12-09,2022-03-27,37106.3</t>
  </si>
  <si>
    <t>CLM-10753,2022-06-29,2022-08-01,2024-01-18,28849.27</t>
  </si>
  <si>
    <t>CLM-10592,2024-02-09,2024-04-20,2024-08-06,63322.1</t>
  </si>
  <si>
    <t>CLM-10695,2023-05-05,2023-08-01,2024-01-25,22874.88</t>
  </si>
  <si>
    <t>CLM-10368,2021-10-30,2021-12-02,2022-03-20,39652.97</t>
  </si>
  <si>
    <t>CLM-10318,2024-09-05,2024-11-01,2025-04-19,72816.67</t>
  </si>
  <si>
    <t>CLM-10577,2020-09-26,2020-12-22,2021-08-13,77015.11</t>
  </si>
  <si>
    <t>CLM-10709,2020-11-01,2021-01-16,2021-06-13,3632.07</t>
  </si>
  <si>
    <t>CLM-10455,2023-09-17,2023-10-10,2025-03-03,69748.93</t>
  </si>
  <si>
    <t>CLM-10085,2021-04-19,2021-07-03,2022-01-11,68456.98</t>
  </si>
  <si>
    <t>CLM-10745,2020-09-17,2020-11-16,2021-07-10,20460.72</t>
  </si>
  <si>
    <t>CLM-10652,2023-10-21,2023-12-11,2025-03-20,74471.48</t>
  </si>
  <si>
    <t>CLM-10635,2021-05-04,2021-05-27,2021-12-04,5527.67</t>
  </si>
  <si>
    <t>CLM-10724,2022-02-18,2022-02-24,2022-05-28,20891.06</t>
  </si>
  <si>
    <t>CLM-10328,2024-10-02,2024-11-16,2025-03-19,2757.76</t>
  </si>
  <si>
    <t>CLM-10282,2022-10-12,2022-11-30,2023-10-28,-10116.6</t>
  </si>
  <si>
    <t>CLM-10521,2022-01-05,2022-02-05,2022-07-18,2225333.29</t>
  </si>
  <si>
    <t>CLM-10688,2020-01-02,2020-02-21,2021-01-30,26341.33</t>
  </si>
  <si>
    <t>CLM-10156,2020-11-22,2021-02-10,2021-06-20,83184.98</t>
  </si>
  <si>
    <t>CLM-10767,2024-08-28,2024-10-26,2025-02-14,55650.49</t>
  </si>
  <si>
    <t>CLM-10519,2022-08-18,2022-11-15,2023-01-25,75903.67</t>
  </si>
  <si>
    <t>CLM-10641,2020-01-14,2020-04-05,2020-08-08,74286.79</t>
  </si>
  <si>
    <t>CLM-10415,2021-08-30,2021-11-09,2023-09-23,73362.21</t>
  </si>
  <si>
    <t>CLM-10794,2024-03-04,2024-05-26,2024-07-07,33519.99</t>
  </si>
  <si>
    <t>CLM-10784,2022-11-25,2022-12-09,2023-01-10,-12540.98</t>
  </si>
  <si>
    <t>CLM-10375,2021-01-24,2021-04-03,2021-11-05,-13361.89</t>
  </si>
  <si>
    <t>CLM-10349,2022-02-13,2022-03-11,2023-02-28,78029.53</t>
  </si>
  <si>
    <t>CLM-10631,2023-12-04,2024-01-17,2024-11-18,13621.08</t>
  </si>
  <si>
    <t>CLM-10783,2023-05-31,2023-07-12,2024-09-02,2266.99</t>
  </si>
  <si>
    <t>CLM-10096,2022-01-02,2022-01-10,2022-09-26,13879.16</t>
  </si>
  <si>
    <t>CLM-10322,2023-07-04,2023-09-21,2024-03-16,20407.47</t>
  </si>
  <si>
    <t>CLM-10638,2023-06-21,2023-09-09,2024-06-19,41914.98</t>
  </si>
  <si>
    <t>CLM-10031,2020-06-09,2020-08-27,2021-02-09,48075.52</t>
  </si>
  <si>
    <t>CLM-10488,2022-10-12,2023-01-02,2023-04-13,-1606.78</t>
  </si>
  <si>
    <t>CLM-10563,2023-12-06,2024-02-26,2024-08-21,73275.9</t>
  </si>
  <si>
    <t>CLM-10100,2024-08-17,2024-09-07,2025-03-22,66565.12</t>
  </si>
  <si>
    <t>CLM-10718,2023-05-25,2023-06-09,2023-10-22,10068.87</t>
  </si>
  <si>
    <t>CLM-10610,2023-10-29,2023-11-12,2024-11-14,66169.27</t>
  </si>
  <si>
    <t>CLM-10606,2022-04-02,2022-05-23,2022-09-07,74007.93</t>
  </si>
  <si>
    <t>CLM-10316,2020-03-24,2020-04-19,2020-06-28,81280.48</t>
  </si>
  <si>
    <t>CLM-10737,2020-02-19,2020-04-14,2021-05-10,84043.84</t>
  </si>
  <si>
    <t>CLM-10047,2024-11-15,2024-11-25,2025-03-31,61043.0</t>
  </si>
  <si>
    <t>CLM-10525,2020-01-15,2020-02-13,2020-09-03,61634.61</t>
  </si>
  <si>
    <t>CLM-10168,2023-07-28,2023-08-10,2024-03-03,62948.31</t>
  </si>
  <si>
    <t>CLM-10145,2020-01-21,2020-03-11,2020-08-30,9197.16</t>
  </si>
  <si>
    <t>CLM-10303,2021-03-20,2021-04-27,2021-05-22,76083.58</t>
  </si>
  <si>
    <t>CLM-10484,2023-01-23,2023-03-30,2023-11-04,49235.99</t>
  </si>
  <si>
    <t>CLM-10112,2022-08-24,2022-10-23,2024-03-13,42755.92</t>
  </si>
  <si>
    <t>CLM-10622,2023-03-12,2023-03-27,2024-02-26,-10843.24</t>
  </si>
  <si>
    <t>CLM-10684,2022-05-06,2022-06-26,2023-09-28,72265.4</t>
  </si>
  <si>
    <t>CLM-10426,2023-10-14,2023-11-25,2024-03-29,35200.87</t>
  </si>
  <si>
    <t>CLM-10421,2021-02-14,2021-03-17,2021-09-17,-23131.89</t>
  </si>
  <si>
    <t>CLM-10103,2022-07-01,2022-07-12,2023-06-07,72138.79</t>
  </si>
  <si>
    <t>CLM-10139,2024-01-29,2024-02-27,2024-06-12,32572.67</t>
  </si>
  <si>
    <t>CLM-10405,2021-01-28,2021-03-04,2023-05-17,-21003.39</t>
  </si>
  <si>
    <t>CLM-10790,2024-09-23,2024-10-26,2025-01-03,14605.31</t>
  </si>
  <si>
    <t>CLM-10307,2020-01-21,2020-03-16,2020-04-18,42423.28</t>
  </si>
  <si>
    <t>CLM-10122,2022-03-21,2022-06-08,2023-02-02,79631.16</t>
  </si>
  <si>
    <t>CLM-10615,2023-03-05,2023-03-13,2023-07-17,17104.44</t>
  </si>
  <si>
    <t>CLM-10308,2023-06-13,2023-08-18,2024-12-30,-16640.03</t>
  </si>
  <si>
    <t>CLM-10225,2022-12-14,2023-02-01,2024-01-27,-23066.75</t>
  </si>
  <si>
    <t>CLM-10234,2023-07-23,2023-09-20,2023-11-04,49827.43</t>
  </si>
  <si>
    <t>CLM-10675,2023-03-27,2023-04-08,2024-06-27,11334.56</t>
  </si>
  <si>
    <t>CLM-10677,2024-05-25,2024-07-30,2025-01-31,71059.49</t>
  </si>
  <si>
    <t>CLM-10570,2021-09-30,2021-12-06,2022-12-05,66496.28</t>
  </si>
  <si>
    <t>CLM-10187,2020-07-28,2020-08-05,2021-08-28,54938.32</t>
  </si>
  <si>
    <t>CLM-10584,2020-04-23,2020-05-02,2020-11-20,25207.71</t>
  </si>
  <si>
    <t>CLM-10472,2023-03-07,2023-05-19,2024-05-05,24013.29</t>
  </si>
  <si>
    <t>CLM-10694,2020-10-10,2020-10-13,2021-07-18,35825.62</t>
  </si>
  <si>
    <t>CLM-10596,2023-07-05,2023-07-12,2023-09-08,48925.55</t>
  </si>
  <si>
    <t>CLM-10343,2022-03-08,2022-05-10,2023-10-16,-1989.02</t>
  </si>
  <si>
    <t>CLM-10674,2024-02-22,2024-04-09,2025-01-12,-317444.92</t>
  </si>
  <si>
    <t>CLM-10173,2021-10-05,2021-12-04,2023-04-18,66514.29</t>
  </si>
  <si>
    <t>CLM-10458,2022-10-02,2022-10-24,2023-10-25,-9764.37</t>
  </si>
  <si>
    <t>CLM-10106,2021-12-04,2022-01-01,2023-03-31,52000.06</t>
  </si>
  <si>
    <t>CLM-10417,2022-01-24,2022-03-03,2022-11-22,-23750.24</t>
  </si>
  <si>
    <t>CLM-10719,2021-10-22,2021-12-19,2022-03-23,78689.05</t>
  </si>
  <si>
    <t>CLM-10098,2023-05-17,2023-07-25,2023-10-02,-19208.87</t>
  </si>
  <si>
    <t>CLM-10322,2023-07-04,2023-09-21,2024-06-11,58362.0</t>
  </si>
  <si>
    <t>CLM-10223,2020-06-27,2020-08-09,2021-04-01,80708.27</t>
  </si>
  <si>
    <t>CLM-10574,2023-10-04,2023-10-24,2024-02-19,10439.73</t>
  </si>
  <si>
    <t>CLM-10264,2021-05-07,2021-06-21,2021-10-29,1150110.28</t>
  </si>
  <si>
    <t>CLM-10444,2021-02-15,2021-04-08,2021-09-22,83012.76</t>
  </si>
  <si>
    <t>CLM-10397,2022-01-28,2022-02-23,2022-06-07,12268.68</t>
  </si>
  <si>
    <t>CLM-10212,2024-09-13,2024-09-22,2025-04-04,62771.56</t>
  </si>
  <si>
    <t>CLM-10644,2023-02-01,2023-02-17,2024-01-17,9104.86</t>
  </si>
  <si>
    <t>CLM-10475,2022-10-21,2022-12-25,2024-06-13,84916.71</t>
  </si>
  <si>
    <t>CLM-10062,2022-07-26,2022-08-21,2023-03-08,56754.38</t>
  </si>
  <si>
    <t>CLM-10002,2024-02-07,2024-02-13,2024-05-14,36587.29</t>
  </si>
  <si>
    <t>CLM-10220,2022-09-04,2022-09-22,2023-04-16,34695.38</t>
  </si>
  <si>
    <t>CLM-10364,2024-06-19,2024-07-06,2024-11-26,18127.93</t>
  </si>
  <si>
    <t>CLM-10213,2023-06-19,2023-07-13,2024-01-19,57676.98</t>
  </si>
  <si>
    <t>CLM-10263,2022-05-02,2022-05-25,2022-07-03,39147.18</t>
  </si>
  <si>
    <t>CLM-10638,2023-06-21,2023-09-09,2024-09-26,9050.34</t>
  </si>
  <si>
    <t>CLM-10176,2023-10-06,2023-11-14,2024-04-22,-10042.37</t>
  </si>
  <si>
    <t>CLM-10229,2022-11-22,2023-01-23,2023-04-14,8928.56</t>
  </si>
  <si>
    <t>CLM-10196,2022-01-05,2022-02-18,2022-09-16,36898.47</t>
  </si>
  <si>
    <t>CLM-10293,2024-12-14,2025-02-08,2025-05-09,4779.44</t>
  </si>
  <si>
    <t>CLM-10025,2023-04-02,2023-06-03,2023-08-10,9237.73</t>
  </si>
  <si>
    <t>CLM-10227,2023-10-02,,2024-11-21,40929.16</t>
  </si>
  <si>
    <t>CLM-10181,2024-10-30,2024-11-23,2024-12-15,61945.67</t>
  </si>
  <si>
    <t>CLM-10358,2020-05-24,2020-08-17,2021-01-13,12500.6</t>
  </si>
  <si>
    <t>CLM-10713,2021-07-28,2021-07-30,2022-05-18,40714.63</t>
  </si>
  <si>
    <t>CLM-10216,2020-12-26,2021-01-26,2021-05-23,78705.99</t>
  </si>
  <si>
    <t>CLM-10786,2023-02-07,2023-04-13,2023-08-14,6300.79</t>
  </si>
  <si>
    <t>CLM-10531,2023-11-14,2023-11-26,2024-01-20,77260.79</t>
  </si>
  <si>
    <t>CLM-10357,2023-01-29,2023-04-03,2023-08-10,-23705.45</t>
  </si>
  <si>
    <t>CLM-10736,2021-11-10,2022-01-29,2023-02-20,55309.43</t>
  </si>
  <si>
    <t>CLM-10082,2023-06-17,2023-08-04,2023-10-11,70667.19</t>
  </si>
  <si>
    <t>CLM-10721,2022-05-11,,2023-12-14,42434.63</t>
  </si>
  <si>
    <t>CLM-10045,2021-10-18,2021-11-28,2022-04-29,11370.47</t>
  </si>
  <si>
    <t>CLM-10714,2023-03-03,2023-03-04,2024-06-16,42364.33</t>
  </si>
  <si>
    <t>CLM-10008,2022-06-09,2022-08-03,2024-03-24,17637.49</t>
  </si>
  <si>
    <t>CLM-10212,2024-09-13,2024-09-22,2024-10-08,38641.72</t>
  </si>
  <si>
    <t>CLM-10437,2021-01-18,2021-01-30,2021-07-15,74217.33</t>
  </si>
  <si>
    <t>CLM-10521,2022-01-05,2022-02-05,2023-03-15,-15327.78</t>
  </si>
  <si>
    <t>CLM-10013,2022-08-29,2022-11-06,2024-03-22,51353.61</t>
  </si>
  <si>
    <t>CLM-10108,2020-10-11,2020-12-27,2021-06-16,4809.52</t>
  </si>
  <si>
    <t>CLM-10465,2021-08-14,2021-11-02,2022-07-09,-16336.47</t>
  </si>
  <si>
    <t>CLM-10207,2021-06-11,2021-09-06,2021-10-19,13592.53</t>
  </si>
  <si>
    <t>CLM-10696,2023-06-01,2023-07-04,2023-10-17,83361.04</t>
  </si>
  <si>
    <t>CLM-10703,2020-11-03,2021-01-20,2021-05-20,34552.52</t>
  </si>
  <si>
    <t>CLM-10785,2021-05-19,2021-08-03,2022-02-13,39038.18</t>
  </si>
  <si>
    <t>CLM-10223,2020-06-27,2020-08-09,2021-03-03,40006.78</t>
  </si>
  <si>
    <t>CLM-10240,2021-10-03,2021-12-16,2022-12-29,70379.92</t>
  </si>
  <si>
    <t>CLM-10058,2021-04-10,2021-04-27,2022-02-16,-17382.93</t>
  </si>
  <si>
    <t>CLM-10405,2021-01-28,2021-03-04,2021-09-17,13742.39</t>
  </si>
  <si>
    <t>CLM-10650,2021-06-25,2021-07-31,2021-12-26,-15027.66</t>
  </si>
  <si>
    <t>CLM-10474,2022-08-01,2022-10-09,2023-03-07,54698.97</t>
  </si>
  <si>
    <t>CLM-10524,2021-07-10,2021-08-06,2022-02-12,2652.0</t>
  </si>
  <si>
    <t>CLM-10507,2024-04-29,2024-05-01,2025-02-24,54187.83</t>
  </si>
  <si>
    <t>CLM-10606,2022-04-02,2022-05-23,2022-06-27,27890.19</t>
  </si>
  <si>
    <t>CLM-10005,2021-06-15,2021-07-16,2022-09-05,42186.56</t>
  </si>
  <si>
    <t>CLM-10278,2022-12-07,2022-12-16,2023-08-27,48824.02</t>
  </si>
  <si>
    <t>CLM-10710,2021-03-15,2021-05-31,2021-07-21,-2513.91</t>
  </si>
  <si>
    <t>CLM-10442,2024-07-27,2024-09-16,2024-12-29,55084.84</t>
  </si>
  <si>
    <t>CLM-10160,2021-05-24,2021-06-29,2021-12-09,-13934.81</t>
  </si>
  <si>
    <t>CLM-10039,2024-08-19,2024-10-04,2025-02-15,32730.97</t>
  </si>
  <si>
    <t>CLM-10708,2021-11-16,2021-12-23,2022-11-02,12622.98</t>
  </si>
  <si>
    <t>CLM-10240,2021-10-03,2021-12-16,2022-05-31,37781.49</t>
  </si>
  <si>
    <t>CLM-10796,2022-02-06,2022-02-21,2022-06-16,73451.07</t>
  </si>
  <si>
    <t>CLM-10604,2021-06-20,2021-09-11,2021-10-30,67744.87</t>
  </si>
  <si>
    <t>CLM-10534,2021-04-08,2021-04-10,2021-11-08,46020.86</t>
  </si>
  <si>
    <t>CLM-10287,2020-04-13,2020-05-01,2020-08-16,16384.69</t>
  </si>
  <si>
    <t>CLM-10067,2021-04-24,2021-05-11,2021-11-05,55803.5</t>
  </si>
  <si>
    <t>CLM-10705,2021-11-18,2022-01-29,2022-07-25,11157.96</t>
  </si>
  <si>
    <t>CLM-10290,2024-01-22,2024-02-13,2025-05-23,46495.32</t>
  </si>
  <si>
    <t>CLM-10058,2021-04-10,2021-04-27,2022-07-15,70727.86</t>
  </si>
  <si>
    <t>CLM-10705,2021-11-18,2022-01-29,2022-06-10,58168.27</t>
  </si>
  <si>
    <t>CLM-10455,2023-09-17,2023-10-10,2024-04-12,-22866.29</t>
  </si>
  <si>
    <t>CLM-10783,2023-05-31,2023-07-12,2023-10-15,4507.24</t>
  </si>
  <si>
    <t>CLM-10705,2021-11-18,2022-01-29,2022-12-27,69222.93</t>
  </si>
  <si>
    <t>CLM-10166,2022-06-27,2022-06-28,2022-10-19,72132.67</t>
  </si>
  <si>
    <t>CLM-10759,2024-06-17,2024-09-13,2025-03-04,51223.78</t>
  </si>
  <si>
    <t>CLM-10758,2021-01-31,2021-03-23,2022-12-13,67716.04</t>
  </si>
  <si>
    <t>CLM-10446,2024-11-02,2024-11-04,2024-11-29,32738.43</t>
  </si>
  <si>
    <t>CLM-10080,2021-02-18,2021-03-21,2021-09-04,60929.2</t>
  </si>
  <si>
    <t>CLM-10084,2022-06-24,2022-08-20,2023-08-14,44308.1</t>
  </si>
  <si>
    <t>CLM-10569,2021-02-06,2021-03-08,2021-04-28,60295.8</t>
  </si>
  <si>
    <t>CLM-10314,2021-08-08,2021-10-17,2022-05-09,52394.01</t>
  </si>
  <si>
    <t>CLM-10480,2020-05-23,2020-06-17,2020-07-07,83422.56</t>
  </si>
  <si>
    <t>CLM-10007,2022-12-13,2023-01-27,2023-07-25,20965.9</t>
  </si>
  <si>
    <t>CLM-10004,2023-06-08,2023-07-08,2023-12-28,71148.97</t>
  </si>
  <si>
    <t>CLM-10019,2023-11-17,2023-12-03,2024-08-26,52635.82</t>
  </si>
  <si>
    <t>CLM-10244,2022-04-04,2022-06-13,2022-12-25,-16273.68</t>
  </si>
  <si>
    <t>CLM-10463,2022-07-08,2022-08-18,2023-12-14,20031.95</t>
  </si>
  <si>
    <t>CLM-10723,2024-02-26,2024-03-30,2024-04-17,33303.34</t>
  </si>
  <si>
    <t>CLM-10042,2020-07-23,2020-09-27,2021-06-21,75890.03</t>
  </si>
  <si>
    <t>CLM-10749,2021-05-21,2021-06-26,2022-02-10,3093.75</t>
  </si>
  <si>
    <t>CLM-10776,2024-12-02,2025-01-01,2024-10-23,61784.15</t>
  </si>
  <si>
    <t>CLM-10709,2020-11-01,2021-01-16,2021-12-14,48524.39</t>
  </si>
  <si>
    <t>CLM-10053,2021-02-08,2021-03-05,2021-05-27,80549.65</t>
  </si>
  <si>
    <t>CLM-10112,2022-08-24,2022-10-23,2023-10-30,23285.1</t>
  </si>
  <si>
    <t>CLM-10482,2024-02-01,2024-02-23,2024-06-11,33190.89</t>
  </si>
  <si>
    <t>CLM-10283,2022-06-16,,2022-12-23,28138.87</t>
  </si>
  <si>
    <t>CLM-10756,2022-07-31,2022-08-17,2023-02-24,-13367.05</t>
  </si>
  <si>
    <t>CLM-10136,2024-05-01,2024-06-03,2025-02-03,47945.46</t>
  </si>
  <si>
    <t>CLM-10235,2022-09-19,2022-12-14,2023-09-28,80039.87</t>
  </si>
  <si>
    <t>CLM-10421,2021-02-14,2021-03-17,2021-12-31,62813.31</t>
  </si>
  <si>
    <t>CLM-10771,2022-08-19,2022-09-08,2024-03-03,-2187.12</t>
  </si>
  <si>
    <t>CLM-10429,2020-04-12,2020-06-20,2020-09-27,27235.93</t>
  </si>
  <si>
    <t>CLM-10753,2022-06-29,2022-08-01,2023-03-21,27993.35</t>
  </si>
  <si>
    <t>CLM-10195,2024-03-07,2024-03-18,2025-03-09,-7645.93</t>
  </si>
  <si>
    <t>CLM-10127,2023-07-03,2023-07-11,2024-03-30,75377.33</t>
  </si>
  <si>
    <t>CLM-10574,2023-10-04,2023-10-24,2024-08-28,30859.21</t>
  </si>
  <si>
    <t>CLM-10181,2024-10-30,2024-11-23,2025-05-16,38152.09</t>
  </si>
  <si>
    <t>CLM-10240,2021-10-03,2021-12-16,2022-08-11,32544.15</t>
  </si>
  <si>
    <t>CLM-10139,2024-01-29,2024-02-27,2024-04-29,55232.62</t>
  </si>
  <si>
    <t>CLM-10291,2021-10-21,2022-01-05,2022-05-11,80501.5</t>
  </si>
  <si>
    <t>CLM-10224,2020-11-06,2021-01-11,2021-07-03,72844.73</t>
  </si>
  <si>
    <t>CLM-10417,2022-01-24,2022-03-03,2022-09-17,14499.85</t>
  </si>
  <si>
    <t>CLM-10636,2023-03-31,2023-05-03,2024-04-13,83151.65</t>
  </si>
  <si>
    <t>CLM-10793,2024-04-10,2024-06-19,2025-05-16,77787.39</t>
  </si>
  <si>
    <t>CLM-10261,2020-07-16,2020-08-28,2020-12-24,74600.77</t>
  </si>
  <si>
    <t>CLM-10761,2022-05-24,2022-07-03,2023-03-04,73043.66</t>
  </si>
  <si>
    <t>CLM-10341,2024-05-09,2024-06-16,2024-09-24,18396.39</t>
  </si>
  <si>
    <t>CLM-10570,2021-09-30,2021-12-06,2022-03-28,-12217.57</t>
  </si>
  <si>
    <t>CLM-10384,2022-07-02,2022-08-08,2023-10-05,53679.84</t>
  </si>
  <si>
    <t>CLM-10318,2024-09-05,2024-11-01,2025-03-04,71084.42</t>
  </si>
  <si>
    <t>CLM-10457,2023-05-27,2023-08-16,2024-09-21,4677.41</t>
  </si>
  <si>
    <t>CLM-10178,2022-10-17,2022-12-16,2023-05-09,11560.5</t>
  </si>
  <si>
    <t>CLM-10597,2021-08-12,2021-09-02,2022-02-01,72262.81</t>
  </si>
  <si>
    <t>CLM-10800,2024-02-01,2024-02-14,2024-05-31,30278.65</t>
  </si>
  <si>
    <t>CLM-10575,2021-05-18,2021-06-03,2021-11-03,71328.74</t>
  </si>
  <si>
    <t>CLM-10209,2024-01-20,2024-01-26,2024-08-06,57275.5</t>
  </si>
  <si>
    <t>CLM-10603,2022-01-03,2022-02-24,2023-12-22,77607.85</t>
  </si>
  <si>
    <t>CLM-10768,2023-04-21,2023-06-26,2024-08-05,17010.06</t>
  </si>
  <si>
    <t>CLM-10784,2022-11-25,2022-12-09,2023-11-29,33135.29</t>
  </si>
  <si>
    <t>CLM-10415,2021-08-30,2021-11-09,2023-01-11,39220.34</t>
  </si>
  <si>
    <t>CLM-10684,2022-05-06,2022-06-26,2022-08-20,58535.43</t>
  </si>
  <si>
    <t>CLM-10222,2024-01-06,2024-04-01,2024-07-03,2516.9</t>
  </si>
  <si>
    <t>CLM-10657,2023-02-24,2023-05-21,2023-09-28,16771.26</t>
  </si>
  <si>
    <t>CLM-10292,2020-04-20,2020-05-25,2020-10-30,77870.25</t>
  </si>
  <si>
    <t>CLM-10044,2020-04-01,2020-06-10,2020-09-09,80189.5</t>
  </si>
  <si>
    <t>CLM-10100,2024-08-17,2024-09-07,2025-04-26,42243.41</t>
  </si>
  <si>
    <t>CLM-10569,2021-02-06,2021-03-08,2021-05-19,-7989.65</t>
  </si>
  <si>
    <t>CLM-10065,2023-05-05,2023-07-30,2024-04-18,84303.22</t>
  </si>
  <si>
    <t>CLM-10768,2023-04-21,2023-06-26,2024-10-06,70479.62</t>
  </si>
  <si>
    <t>CLM-10030,2023-06-22,2023-07-19,2024-01-04,25421.92</t>
  </si>
  <si>
    <t>CLM-10478,2020-09-23,2020-12-14,2021-10-07,84422.36</t>
  </si>
  <si>
    <t>CLM-10306,2024-08-02,2024-08-05,2024-12-18,9974.94</t>
  </si>
  <si>
    <t>CLM-10624,2023-03-12,2023-04-18,2024-02-25,64393.28</t>
  </si>
  <si>
    <t>CLM-10097,2021-04-13,2021-06-26,2022-03-30,27077.46</t>
  </si>
  <si>
    <t>CLM-10041,2023-01-01,2023-02-09,2022-11-23,34873.39</t>
  </si>
  <si>
    <t>CLM-10595,2023-12-26,2024-01-15,2024-11-30,38764.38</t>
  </si>
  <si>
    <t>CLM-10116,2023-04-19,2023-07-04,2024-06-11,53582.51</t>
  </si>
  <si>
    <t>CLM-10042,2020-07-23,2020-09-27,2021-11-18,7674.14</t>
  </si>
  <si>
    <t>CLM-10551,2024-10-06,2024-12-08,2025-02-11,33037.97</t>
  </si>
  <si>
    <t>CLM-10514,2020-07-07,2020-08-22,2020-09-15,25659.15</t>
  </si>
  <si>
    <t>CLM-10523,2021-06-09,2021-08-23,2021-10-28,28583.76</t>
  </si>
  <si>
    <t>CLM-10279,2023-10-19,2023-12-06,2025-01-21,25715.11</t>
  </si>
  <si>
    <t>CLM-10582,2020-04-30,2020-06-20,2021-04-19,3828.33</t>
  </si>
  <si>
    <t>CLM-10714,2023-03-03,2023-03-04,2023-08-21,12249.21</t>
  </si>
  <si>
    <t>CLM-10657,2023-02-24,2023-05-21,2025-02-07,-15916.46</t>
  </si>
  <si>
    <t>CLM-10409,2021-12-02,2022-02-15,2023-01-15,73041.59</t>
  </si>
  <si>
    <t>CLM-10721,2022-05-11,,2023-04-21,24246.42</t>
  </si>
  <si>
    <t>CLM-10587,2020-08-02,,2021-04-01,77182.23</t>
  </si>
  <si>
    <t>CLM-10134,2021-03-30,2021-05-13,2021-07-27,43080.65</t>
  </si>
  <si>
    <t>CLM-10553,2022-12-07,2023-02-16,2023-07-01,-10172.06</t>
  </si>
  <si>
    <t>CLM-10149,2021-12-20,2022-02-10,2022-07-25,65762.87</t>
  </si>
  <si>
    <t>CLM-10011,2020-03-23,2020-04-06,2021-04-21,69440.36</t>
  </si>
  <si>
    <t>CLM-10783,2023-05-31,2023-07-12,2025-01-11,2305.64</t>
  </si>
  <si>
    <t>CLM-10430,2020-05-28,2020-07-12,2020-09-02,16633.02</t>
  </si>
  <si>
    <t>CLM-10756,2022-07-31,2022-08-17,2023-07-22,5718.49</t>
  </si>
  <si>
    <t>CLM-10793,2024-04-10,2024-06-19,2024-10-11,28144.42</t>
  </si>
  <si>
    <t>CLM-10036,2023-12-30,,2024-06-07,-13053.42</t>
  </si>
  <si>
    <t>CLM-10629,2021-09-22,2021-09-24,2022-03-20,10251.57</t>
  </si>
  <si>
    <t>CLM-10642,2021-04-07,,2021-10-16,4253.07</t>
  </si>
  <si>
    <t>CLM-10392,2022-01-10,2022-03-09,2022-06-03,-5124.27</t>
  </si>
  <si>
    <t>CLM-10123,2022-08-08,2022-10-14,2023-04-24,-3219.96</t>
  </si>
  <si>
    <t>CLM-10749,2021-05-21,2021-06-26,2021-07-12,84563.1</t>
  </si>
  <si>
    <t>CLM-10193,2023-03-03,2023-05-29,2023-10-23,21595.67</t>
  </si>
  <si>
    <t>CLM-10447,2024-09-25,2024-11-10,2025-04-24,19543.41</t>
  </si>
  <si>
    <t>CLM-10773,2021-06-28,2021-09-03,2022-08-03,20008.49</t>
  </si>
  <si>
    <t>CLM-10704,2022-10-31,2022-12-12,2023-12-08,25851.27</t>
  </si>
  <si>
    <t>CLM-10228,2020-02-22,2020-03-12,2021-01-17,65306.39</t>
  </si>
  <si>
    <t>CLM-10653,2024-04-05,2024-07-01,2025-02-21,44647.16</t>
  </si>
  <si>
    <t>CLM-10261,2020-07-16,2020-08-28,2021-06-04,83960.91</t>
  </si>
  <si>
    <t>CLM-10554,2023-11-21,2023-12-29,2024-02-19,50616.11</t>
  </si>
  <si>
    <t>CLM-10256,2024-04-04,2024-07-02,2025-05-26,2240.52</t>
  </si>
  <si>
    <t>CLM-10335,2021-01-30,2021-03-14,2022-02-28,60357.84</t>
  </si>
  <si>
    <t>CLM-10050,2023-10-05,2023-10-07,2024-03-06,-3946.93</t>
  </si>
  <si>
    <t>CLM-10028,2020-03-02,2020-05-30,2021-06-30,-4699.85</t>
  </si>
  <si>
    <t>CLM-10646,2021-06-05,2021-08-10,2022-04-13,15170.93</t>
  </si>
  <si>
    <t>CLM-10603,2022-01-03,2022-02-24,2022-12-01,51610.65</t>
  </si>
  <si>
    <t>CLM-10232,2021-09-05,2021-09-10,2022-09-30,-17212.92</t>
  </si>
  <si>
    <t>CLM-10708,2021-11-16,2021-12-23,2022-07-10,52633.28</t>
  </si>
  <si>
    <t>CLM-10282,2022-10-12,2022-11-30,2023-02-19,40533.56</t>
  </si>
  <si>
    <t>CLM-10365,2021-08-01,2021-08-17,2022-06-27,16181.32</t>
  </si>
  <si>
    <t>CLM-10458,2022-10-02,2022-10-24,2023-10-02,51953.62</t>
  </si>
  <si>
    <t>CLM-10297,2024-01-11,2024-02-17,2024-04-23,74895.74</t>
  </si>
  <si>
    <t>CLM-10418,2021-10-26,2021-11-30,2023-08-28,4744.53</t>
  </si>
  <si>
    <t>CLM-10686,2023-11-14,2024-02-01,2024-04-18,61988.0</t>
  </si>
  <si>
    <t>CLM-10296,2021-12-26,2022-02-17,2022-10-21,-17542.73</t>
  </si>
  <si>
    <t>CLM-10335,2021-01-30,2021-03-14,2022-08-08,26208.84</t>
  </si>
  <si>
    <t>CLM-10070,2020-09-04,,2020-11-05,83709.23</t>
  </si>
  <si>
    <t>CLM-10546,2020-09-10,2020-12-03,2021-07-08,-6289.15</t>
  </si>
  <si>
    <t>CLM-10532,2023-12-24,2024-02-25,2024-05-29,-20469.88</t>
  </si>
  <si>
    <t>CLM-10118,2024-12-20,2025-01-20,2025-04-08,61610.41</t>
  </si>
  <si>
    <t>CLM-10788,2024-04-03,2024-06-24,2024-12-29,64130.37</t>
  </si>
  <si>
    <t>CLM-10594,2024-08-04,2024-09-12,2025-04-17,66258.41</t>
  </si>
  <si>
    <t>CLM-10065,2023-05-05,2023-07-30,2025-02-21,15840.42</t>
  </si>
  <si>
    <t>CLM-10450,2021-07-26,2021-09-22,2021-10-22,7409.3</t>
  </si>
  <si>
    <t>CLM-10472,2023-03-07,2023-05-19,2024-08-28,34281.47</t>
  </si>
  <si>
    <t>CLM-10452,2024-01-17,2024-03-27,2025-02-04,44981.04</t>
  </si>
  <si>
    <t>CLM-10706,2020-01-06,,2020-06-24,-18049.22</t>
  </si>
  <si>
    <t>CLM-10022,2022-03-04,2022-05-25,2022-10-29,26750.5</t>
  </si>
  <si>
    <t>CLM-10094,2023-06-28,2023-08-02,2023-12-29,23264.32</t>
  </si>
  <si>
    <t>CLM-10130,2020-12-06,2021-02-18,2021-09-22,44757.96</t>
  </si>
  <si>
    <t>CLM-10191,2024-10-23,,2025-02-23,56508.39</t>
  </si>
  <si>
    <t>CLM-10499,2023-01-08,2023-03-19,2023-10-02,73773.09</t>
  </si>
  <si>
    <t>CLM-10416,2022-03-28,,2023-04-05,27727.51</t>
  </si>
  <si>
    <t>CLM-10306,2024-08-02,2024-08-05,2024-08-28,34477.12</t>
  </si>
  <si>
    <t>CLM-10593,2021-03-11,2021-05-26,2021-12-26,8477.92</t>
  </si>
  <si>
    <t>CLM-10492,2024-02-27,2024-04-15,2024-08-24,13626.43</t>
  </si>
  <si>
    <t>CLM-10157,2020-12-19,2021-01-27,2021-07-01,73215.5</t>
  </si>
  <si>
    <t>CLM-10672,2021-07-09,2021-08-25,2021-12-07,10435.01</t>
  </si>
  <si>
    <t>CLM-10020,2024-05-09,2024-07-13,2025-05-01,-22880.69</t>
  </si>
  <si>
    <t>CLM-10698,2024-04-24,2024-07-13,2024-11-16,12420.85</t>
  </si>
  <si>
    <t>CLM-10054,2021-04-24,2021-05-10,2022-01-16,14774.02</t>
  </si>
  <si>
    <t>CLM-10275,2023-10-12,2023-12-31,2024-11-19,-1634.73</t>
  </si>
  <si>
    <t>CLM-10455,2023-09-17,2023-10-10,2024-09-06,66117.9</t>
  </si>
  <si>
    <t>CLM-10050,2023-10-05,2023-10-07,2024-04-27,43717.07</t>
  </si>
  <si>
    <t>CLM-10204,2022-02-15,2022-05-14,2022-09-20,46262.06</t>
  </si>
  <si>
    <t>CLM-10146,2020-09-10,2020-11-21,2021-04-28,80778.44</t>
  </si>
  <si>
    <t>CLM-10296,2021-12-26,2022-02-17,2023-01-31,21043.68</t>
  </si>
  <si>
    <t>CLM-10164,2023-05-27,2023-06-08,2023-12-02,-6035.9</t>
  </si>
  <si>
    <t>CLM-10073,2023-03-15,2023-06-08,2023-10-12,12371.38</t>
  </si>
  <si>
    <t>CLM-10186,2020-04-14,2020-04-30,2020-11-27,84570.92</t>
  </si>
  <si>
    <t>CLM-10089,2021-11-22,2021-12-29,2022-07-04,72714.88</t>
  </si>
  <si>
    <t>CLM-10271,2021-05-25,,2021-08-07,77412.12</t>
  </si>
  <si>
    <t>CLM-10361,2024-08-09,2024-09-15,2025-01-04,-2990.59</t>
  </si>
  <si>
    <t>CLM-10422,2023-11-02,2023-12-15,2024-03-11,-4729.47</t>
  </si>
  <si>
    <t>CLM-10624,2023-03-12,2023-04-18,2024-03-19,55486.0</t>
  </si>
  <si>
    <t>CLM-10308,2023-06-13,2023-08-18,2024-09-12,4908.13</t>
  </si>
  <si>
    <t>CLM-10305,2023-10-04,2023-11-16,2024-04-04,12270.09</t>
  </si>
  <si>
    <t>CLM-10733,2021-09-06,2021-10-18,2022-02-12,38328.78</t>
  </si>
  <si>
    <t>CLM-10368,2021-10-30,2021-12-02,2022-05-09,34691.19</t>
  </si>
  <si>
    <t>CLM-10011,2020-03-23,2020-04-06,2020-10-17,-20741.68</t>
  </si>
  <si>
    <t>CLM-10453,2022-02-14,2022-03-16,2022-08-27,3829.82</t>
  </si>
  <si>
    <t>CLM-10171,2021-09-13,2021-11-10,2022-04-23,81169.52</t>
  </si>
  <si>
    <t>CLM-10137,2023-01-10,2023-02-11,2023-05-25,17602.32</t>
  </si>
  <si>
    <t>CLM-10145,2020-01-21,2020-03-11,2019-12-05,30151.28</t>
  </si>
  <si>
    <t>CLM-10226,2023-06-04,2023-08-16,2024-01-31,48406.86</t>
  </si>
  <si>
    <t>CLM-10368,2021-10-30,2021-12-02,2022-06-21,-10746.76</t>
  </si>
  <si>
    <t>CLM-10036,2023-12-30,,2024-04-02,5575.03</t>
  </si>
  <si>
    <t>CLM-10665,2020-10-22,2020-12-05,2022-03-02,35042.13</t>
  </si>
  <si>
    <t>CLM-10461,2023-06-03,2023-06-28,2023-11-23,-17120.33</t>
  </si>
  <si>
    <t>CLM-10539,2020-08-28,2020-11-18,2021-04-18,2866.09</t>
  </si>
  <si>
    <t>CLM-10542,2024-06-15,2024-07-16,2024-09-28,3327.67</t>
  </si>
  <si>
    <t>CLM-10770,2023-07-08,2023-08-18,2024-06-16,24435.38</t>
  </si>
  <si>
    <t>CLM-10613,2024-06-12,2024-09-05,2025-03-21,29681.16</t>
  </si>
  <si>
    <t>CLM-10774,2021-09-02,2021-10-07,2022-04-22,43257.56</t>
  </si>
  <si>
    <t>CLM-10711,2023-08-15,2023-08-27,2024-07-15,36629.53</t>
  </si>
  <si>
    <t>CLM-10221,2022-02-14,2022-04-25,2023-01-06,-10856.29</t>
  </si>
  <si>
    <t>CLM-10281,2024-08-06,2024-10-23,2025-03-02,44218.29</t>
  </si>
  <si>
    <t>CLM-10608,2020-06-26,2020-08-20,2021-07-04,33317.2</t>
  </si>
  <si>
    <t>CLM-10162,2020-02-24,2020-04-24,2020-05-27,61415.01</t>
  </si>
  <si>
    <t>CLM-10215,2022-05-18,2022-06-05,2023-01-08,12180.4</t>
  </si>
  <si>
    <t>CLM-10225,2022-12-14,2023-02-01,2023-07-28,82932.23</t>
  </si>
  <si>
    <t>CLM-10035,2023-06-12,2023-08-11,2024-02-27,5458.9</t>
  </si>
  <si>
    <t>CLM-10734,2020-05-02,2020-06-10,2021-04-04,54966.56</t>
  </si>
  <si>
    <t>CLM-10074,2022-05-14,2022-06-22,2023-05-27,68944.78</t>
  </si>
  <si>
    <t>CLM-10258,2022-09-21,2022-12-07,2024-05-27,57755.99</t>
  </si>
  <si>
    <t>CLM-10620,2024-02-20,2024-05-19,2024-09-17,61732.06</t>
  </si>
  <si>
    <t>CLM-10128,2022-01-16,2022-01-26,2022-06-10,68893.65</t>
  </si>
  <si>
    <t>CLM-10714,2023-03-03,2023-03-04,2023-10-26,-10021.14</t>
  </si>
  <si>
    <t>CLM-10678,2022-12-22,2023-03-11,2023-07-01,47832.56</t>
  </si>
  <si>
    <t>CLM-10027,2021-06-20,2021-08-27,2022-07-14,15959.2</t>
  </si>
  <si>
    <t>CLM-10427,2021-02-16,2021-04-15,2022-07-05,25550.0</t>
  </si>
  <si>
    <t>CLM-10499,2023-01-08,2023-03-19,2024-10-04,35792.23</t>
  </si>
  <si>
    <t>CLM-10291,2021-10-21,2022-01-05,2022-07-01,-12721.11</t>
  </si>
  <si>
    <t>CLM-10319,2024-05-14,2024-05-31,2024-12-11,16483.68</t>
  </si>
  <si>
    <t>CLM-10665,2020-10-22,2020-12-05,2021-07-26,68441.18</t>
  </si>
  <si>
    <t>CLM-10739,2022-04-28,2022-06-04,2022-07-28,2484.89</t>
  </si>
  <si>
    <t>CLM-10313,2024-08-29,2024-10-06,2024-11-02,31831.79</t>
  </si>
  <si>
    <t>CLM-10295,2020-09-24,2020-10-28,2021-03-24,14075.97</t>
  </si>
  <si>
    <t>CLM-10342,2022-09-06,2022-11-15,2023-01-17,43301.3</t>
  </si>
  <si>
    <t>CLM-10222,2024-01-06,2024-04-01,2024-11-19,57772.62</t>
  </si>
  <si>
    <t>CLM-10576,2022-12-16,2023-02-17,2023-05-26,-17766.05</t>
  </si>
  <si>
    <t>CLM-10538,2021-12-30,2022-03-26,2022-06-02,55039.89</t>
  </si>
  <si>
    <t>CLM-10346,2022-10-15,,2023-03-06,19217.16</t>
  </si>
  <si>
    <t>CLM-10371,2020-05-14,2020-06-27,2022-01-22,69436.37</t>
  </si>
  <si>
    <t>CLM-10349,2022-02-13,2022-03-11,2023-05-20,39792.9</t>
  </si>
  <si>
    <t>CLM-10466,2021-04-19,2021-05-20,2022-08-16,58454.47</t>
  </si>
  <si>
    <t>CLM-10011,2020-03-23,2020-04-06,2021-11-03,15894.17</t>
  </si>
  <si>
    <t>CLM-10454,2020-01-13,2020-02-05,2020-03-22,9020.18</t>
  </si>
  <si>
    <t>CLM-10639,2021-05-03,2021-07-09,2021-12-04,49004.23</t>
  </si>
  <si>
    <t>CLM-10258,2022-09-21,2022-12-07,2023-06-03,84838.67</t>
  </si>
  <si>
    <t>CLM-10714,2023-03-03,2023-03-04,2024-05-06,15058.91</t>
  </si>
  <si>
    <t>CLM-10670,2022-07-16,2022-09-27,2023-04-06,73148.45</t>
  </si>
  <si>
    <t>CLM-10640,2023-11-08,2023-11-09,2024-03-21,40666.62</t>
  </si>
  <si>
    <t>CLM-10352,2021-03-05,2021-04-15,2021-10-15,22701.44</t>
  </si>
  <si>
    <t>CLM-10229,2022-11-22,2023-01-23,2023-05-07,31281.45</t>
  </si>
  <si>
    <t>CLM-10735,2024-09-02,2024-10-21,2025-02-07,56641.67</t>
  </si>
  <si>
    <t>CLM-10174,2021-12-04,2022-01-29,2022-04-16,74441.59</t>
  </si>
  <si>
    <t>CLM-10491,2023-01-22,2023-03-22,2023-09-19,70780.75</t>
  </si>
  <si>
    <t>CLM-10143,2023-08-12,2023-09-15,2023-11-03,18621.63</t>
  </si>
  <si>
    <t>CLM-10738,2020-12-21,2021-02-27,2022-04-28,22043.11</t>
  </si>
  <si>
    <t>CLM-10325,2023-06-18,2023-08-06,2024-09-16,22437.79</t>
  </si>
  <si>
    <t>CLM-10441,2023-09-25,2023-11-14,2023-12-22,55709.2</t>
  </si>
  <si>
    <t>CLM-10739,2022-04-28,2022-06-04,2022-11-08,33851.38</t>
  </si>
  <si>
    <t>CLM-10768,2023-04-21,2023-06-26,2023-08-19,82008.26</t>
  </si>
  <si>
    <t>CLM-10330,2021-09-09,2021-10-11,2022-10-08,24218.56</t>
  </si>
  <si>
    <t>CLM-10216,2020-12-26,2021-01-26,2021-06-17,73052.18</t>
  </si>
  <si>
    <t>CLM-10218,2024-07-29,2024-09-23,2025-05-23,-13229.89</t>
  </si>
  <si>
    <t>CLM-10084,2022-06-24,2022-08-20,2023-05-12,13598.15</t>
  </si>
  <si>
    <t>CLM-10230,2020-09-27,2020-11-09,2022-02-10,69398.84</t>
  </si>
  <si>
    <t>CLM-10127,2023-07-03,2023-07-11,2024-11-09,18407.3</t>
  </si>
  <si>
    <t>CLM-10443,2021-04-06,2021-05-18,2021-07-23,79758.47</t>
  </si>
  <si>
    <t>CLM-10582,2020-04-30,2020-06-20,2020-11-21,38276.94</t>
  </si>
  <si>
    <t>CLM-10456,2021-11-29,2021-12-08,2022-08-12,-8146.1</t>
  </si>
  <si>
    <t>CLM-10500,2024-02-18,2024-04-24,2024-09-10,58970.95</t>
  </si>
  <si>
    <t>CLM-10726,2021-09-17,2021-11-10,2022-11-23,19608.59</t>
  </si>
  <si>
    <t>CLM-10778,2020-09-16,2020-09-22,2020-12-25,14008.58</t>
  </si>
  <si>
    <t>CLM-10763,2022-04-17,2022-06-26,2022-08-08,-6276.12</t>
  </si>
  <si>
    <t>CLM-10527,2020-04-29,2020-06-28,2021-06-06,45108.49</t>
  </si>
  <si>
    <t>CLM-10418,2021-10-26,2021-11-30,2023-03-02,39260.35</t>
  </si>
  <si>
    <t>CLM-10589,2020-01-24,2020-04-20,2021-03-25,77293.77</t>
  </si>
  <si>
    <t>CLM-10545,2022-06-02,2022-07-17,2023-08-18,61416.27</t>
  </si>
  <si>
    <t>CLM-10510,2022-12-19,2023-01-26,2023-05-16,11739.02</t>
  </si>
  <si>
    <t>CLM-10483,2021-02-16,2021-03-07,2021-05-02,8323.21</t>
  </si>
  <si>
    <t>CLM-10491,2023-01-22,2023-03-22,2023-12-28,12523.87</t>
  </si>
  <si>
    <t>CLM-10542,2024-06-15,2024-07-16,2025-03-23,38975.7</t>
  </si>
  <si>
    <t>CLM-10353,2020-04-10,2020-07-04,2021-09-08,41260.93</t>
  </si>
  <si>
    <t>CLM-10294,2024-04-12,2024-04-17,2024-09-30,11606.0</t>
  </si>
  <si>
    <t>CLM-10459,2020-01-06,2020-03-05,2020-09-16,-14578.09</t>
  </si>
  <si>
    <t>CLM-10312,2021-07-01,2021-08-18,2022-01-10,68192.07</t>
  </si>
  <si>
    <t>CLM-10717,2021-07-25,2021-10-05,2021-06-12,74512.17</t>
  </si>
  <si>
    <t>CLM-10520,2023-01-27,2023-04-12,2023-11-03,25672.12</t>
  </si>
  <si>
    <t>CLM-10465,2021-08-14,2021-11-02,2023-04-19,20624.38</t>
  </si>
  <si>
    <t>CLM-10043,2022-09-09,2022-10-08,2023-05-25,30049.21</t>
  </si>
  <si>
    <t>CLM-10405,2021-01-28,2021-03-04,2022-10-01,39926.77</t>
  </si>
  <si>
    <t>CLM-10136,2024-05-01,2024-06-03,2024-12-17,-19154.42</t>
  </si>
  <si>
    <t>CLM-10676,2023-11-26,2024-01-31,2024-07-04,4346.6</t>
  </si>
  <si>
    <t>CLM-10132,2020-11-29,2021-02-21,2021-08-18,22120.14</t>
  </si>
  <si>
    <t>CLM-10254,2023-06-06,2023-06-14,2024-06-07,23998.32</t>
  </si>
  <si>
    <t>CLM-10465,2021-08-14,2021-11-02,2022-02-27,7462.41</t>
  </si>
  <si>
    <t>CLM-10011,2020-03-23,2020-04-06,2022-02-13,42583.72</t>
  </si>
  <si>
    <t>CLM-10038,2023-10-06,2023-11-04,2024-05-04,20640.38</t>
  </si>
  <si>
    <t>CLM-10501,2021-01-09,2021-03-29,2021-07-19,9319.5</t>
  </si>
  <si>
    <t>CLM-10789,2024-06-14,2024-09-05,2025-05-30,28787.8</t>
  </si>
  <si>
    <t>CLM-10138,2023-02-27,2023-05-07,2023-08-16,50031.87</t>
  </si>
  <si>
    <t>CLM-10237,2024-04-20,2024-05-30,2024-12-25,-24144.43</t>
  </si>
  <si>
    <t>CLM-10731,2020-04-05,2020-05-31,2020-09-27,46676.28</t>
  </si>
  <si>
    <t>CLM-10515,2023-11-02,2023-12-02,2024-04-24,48896.3</t>
  </si>
  <si>
    <t>CLM-10380,2021-11-25,2022-02-02,2022-10-17,45589.79</t>
  </si>
  <si>
    <t>CLM-10233,2020-07-08,2020-08-20,2021-09-12,7764.8</t>
  </si>
  <si>
    <t>CLM-10202,2022-04-25,2022-06-03,2023-01-23,79396.37</t>
  </si>
  <si>
    <t>CLM-10550,2024-03-14,2024-04-23,2024-06-25,-24055.78</t>
  </si>
  <si>
    <t>CLM-10099,2022-04-18,2022-07-05,2023-07-16,72372.06</t>
  </si>
  <si>
    <t>CLM-10633,2023-03-25,2023-03-27,2023-09-26,65057.27</t>
  </si>
  <si>
    <t>CLM-10462,2020-07-23,2020-08-15,2021-06-04,2772.47</t>
  </si>
  <si>
    <t>CLM-10581,2022-03-07,2022-05-26,2022-06-29,50094.69</t>
  </si>
  <si>
    <t>CLM-10033,2024-07-15,2024-09-22,2025-02-13,74504.85</t>
  </si>
  <si>
    <t>CLM-10594,2024-08-04,2024-09-12,2024-12-26,39720.55</t>
  </si>
  <si>
    <t>CLM-10774,2021-09-02,2021-10-07,2022-10-06,48347.78</t>
  </si>
  <si>
    <t>CLM-10640,2023-11-08,2023-11-09,2024-01-14,55233.59</t>
  </si>
  <si>
    <t>CLM-10707,2020-02-20,2020-04-20,2021-03-17,77725.06</t>
  </si>
  <si>
    <t>CLM-10332,2023-04-25,2023-06-10,2023-07-31,-8572.46</t>
  </si>
  <si>
    <t>CLM-10009,2022-02-22,2022-03-08,2022-07-13,-15716.94</t>
  </si>
  <si>
    <t>CLM-10036,2023-12-30,,2024-12-08,33498.9</t>
  </si>
  <si>
    <t>CLM-10472,2023-03-07,2023-05-19,2023-12-05,61179.66</t>
  </si>
  <si>
    <t>CLM-10403,2024-07-09,2024-07-23,2024-11-11,44550.35</t>
  </si>
  <si>
    <t>CLM-10116,2023-04-19,2023-07-04,2023-12-26,84531.14</t>
  </si>
  <si>
    <t>CLM-10694,2020-10-10,2020-10-13,2021-09-15,19665.76</t>
  </si>
  <si>
    <t>CLM-10195,2024-03-07,2024-03-18,2024-08-27,26056.91</t>
  </si>
  <si>
    <t>CLM-10095,2020-09-01,2020-11-10,2021-01-27,-12469.08</t>
  </si>
  <si>
    <t>CLM-10285,2020-12-02,2021-02-21,2022-06-07,49112.72</t>
  </si>
  <si>
    <t>CLM-10589,2020-01-24,2020-04-20,2021-09-24,57373.57</t>
  </si>
  <si>
    <t>CLM-10446,2024-11-02,2024-11-04,2025-01-20,67318.56</t>
  </si>
  <si>
    <t>CLM-10682,2022-11-29,2023-01-04,2024-07-20,75435.96</t>
  </si>
  <si>
    <t>CLM-10185,2023-05-04,2023-05-09,2023-10-12,33091.56</t>
  </si>
  <si>
    <t>CLM-10140,2021-08-19,2021-09-23,2022-08-06,78210.9</t>
  </si>
  <si>
    <t>CLM-10544,2024-07-25,2024-09-14,2024-12-11,8348.26</t>
  </si>
  <si>
    <t>CLM-10741,2020-03-12,2020-05-26,2020-07-27,36011.44</t>
  </si>
  <si>
    <t>CLM-10120,2024-05-22,2024-05-31,2025-04-01,28878.03</t>
  </si>
  <si>
    <t>CLM-10617,2020-07-28,2020-08-07,2021-03-29,78824.74</t>
  </si>
  <si>
    <t>CLM-10329,2024-02-15,2024-05-12,2024-10-25,46093.69</t>
  </si>
  <si>
    <t>CLM-10409,2021-12-02,2022-02-15,2022-03-03,7250.33</t>
  </si>
  <si>
    <t>CLM-10024,2020-07-20,2020-10-03,2021-07-14,7906.67</t>
  </si>
  <si>
    <t>CLM-10517,2020-05-02,2020-06-19,2021-08-02,52158.25</t>
  </si>
  <si>
    <t>CLM-10491,2023-01-22,2023-03-22,2024-01-15,63379.05</t>
  </si>
  <si>
    <t>CLM-10218,2024-07-29,2024-09-23,2024-12-24,66113.34</t>
  </si>
  <si>
    <t>CLM-10680,2022-12-29,2023-01-30,2024-09-21,36964.56</t>
  </si>
  <si>
    <t>CLM-10546,2020-09-10,2020-12-03,2021-04-21,4248.8</t>
  </si>
  <si>
    <t>CLM-10349,2022-02-13,2022-03-11,2023-02-09,3674.98</t>
  </si>
  <si>
    <t>CLM-10793,2024-04-10,2024-06-19,2024-12-18,62753.59</t>
  </si>
  <si>
    <t>CLM-10098,2023-05-17,2023-07-25,2024-01-30,81135.11</t>
  </si>
  <si>
    <t>CLM-10579,2020-07-05,2020-08-15,2021-06-29,76052.63</t>
  </si>
  <si>
    <t>CLM-10695,2023-05-05,2023-08-01,2024-08-04,-14063.7</t>
  </si>
  <si>
    <t>CLM-10041,2023-01-01,2023-02-09,2023-11-03,77986.63</t>
  </si>
  <si>
    <t>CLM-10230,2020-09-27,2020-11-09,2021-08-30,82106.31</t>
  </si>
  <si>
    <t>CLM-10046,2020-05-07,2020-07-18,2021-05-13,-8300.73</t>
  </si>
  <si>
    <t>CLM-10335,2021-01-30,2021-03-14,2022-10-02,13187.83</t>
  </si>
  <si>
    <t>CLM-10410,2023-09-28,2023-12-10,2024-09-03,39018.68</t>
  </si>
  <si>
    <t>CLM-10173,2021-10-05,2021-12-04,2022-04-07,42386.54</t>
  </si>
  <si>
    <t>CLM-10392,2022-01-10,2022-03-09,2022-10-30,18925.96</t>
  </si>
  <si>
    <t>CLM-10331,2020-01-09,2020-01-20,2021-11-06,65456.17</t>
  </si>
  <si>
    <t>CLM-10279,2023-10-19,2023-12-06,2024-07-21,38789.47</t>
  </si>
  <si>
    <t>CLM-10196,2022-01-05,2022-02-18,2022-03-10,-12607.94</t>
  </si>
  <si>
    <t>CLM-10539,2020-08-28,2020-11-18,2021-10-02,46496.62</t>
  </si>
  <si>
    <t>CLM-10099,2022-04-18,2022-07-05,2022-09-22,26426.95</t>
  </si>
  <si>
    <t>CLM-10517,2020-05-02,2020-06-19,2020-12-07,58677.49</t>
  </si>
  <si>
    <t>CLM-10221,2022-02-14,2022-04-25,2023-03-04,37724.93</t>
  </si>
  <si>
    <t>CLM-10285,2020-12-02,2021-02-21,2022-02-01,41450.45</t>
  </si>
  <si>
    <t>CLM-10180,2022-02-23,2022-04-26,2023-09-17,33338.85</t>
  </si>
  <si>
    <t>CLM-10786,2023-02-07,2023-04-13,2023-10-21,4539.88</t>
  </si>
  <si>
    <t>CLM-10086,2023-08-01,2023-10-18,2024-04-27,31176.23</t>
  </si>
  <si>
    <t>CLM-10439,2020-03-02,2020-04-26,2020-07-09,70509.26</t>
  </si>
  <si>
    <t>CLM-10491,2023-01-22,2023-03-22,2023-07-01,81424.18</t>
  </si>
  <si>
    <t>CLM-10106,2021-12-04,2022-01-01,2022-10-29,48398.55</t>
  </si>
  <si>
    <t>CLM-10431,2024-09-08,2024-11-18,2025-03-16,44204.25</t>
  </si>
  <si>
    <t>CLM-10679,2020-09-05,2020-09-24,2020-12-23,38910.68</t>
  </si>
  <si>
    <t>CLM-10482,2024-02-01,2024-02-23,2024-07-12,17367.43</t>
  </si>
  <si>
    <t>CLM-10668,2020-02-09,2020-02-23,2020-06-06,3686.42</t>
  </si>
  <si>
    <t>CLM-10460,2024-08-22,2024-11-01,2025-05-16,-2380.09</t>
  </si>
  <si>
    <t>CLM-10260,2021-03-10,2021-05-26,2021-06-22,36953.43</t>
  </si>
  <si>
    <t>CLM-10391,2024-09-06,2024-09-10,2024-10-28,-16753.06</t>
  </si>
  <si>
    <t>CLM-10535,2024-04-14,2024-06-12,2025-01-25,7472.88</t>
  </si>
  <si>
    <t>CLM-10013,2022-08-29,2022-11-06,2023-05-13,23660.08</t>
  </si>
  <si>
    <t>CLM-10176,2023-10-06,2023-11-14,2023-12-15,13314.9</t>
  </si>
  <si>
    <t>CLM-10401,2022-06-07,2022-08-10,2023-08-31,72139.74</t>
  </si>
  <si>
    <t>CLM-10252,2022-08-02,2022-10-01,2024-06-23,8476.14</t>
  </si>
  <si>
    <t>CLM-10335,2021-01-30,2021-03-14,2021-09-19,42298.65</t>
  </si>
  <si>
    <t>CLM-10125,2021-02-23,2021-02-24,2021-09-09,48746.0</t>
  </si>
  <si>
    <t>CLM-10560,2022-09-25,2022-10-20,2024-02-29,60188.42</t>
  </si>
  <si>
    <t>CLM-10428,2020-07-25,2020-08-15,2021-02-02,12551.65</t>
  </si>
  <si>
    <t>CLM-10654,2021-12-04,2022-01-31,2023-12-11,51305.77</t>
  </si>
  <si>
    <t>CLM-10343,2022-03-08,2022-05-10,2024-02-07,40875.64</t>
  </si>
  <si>
    <t>CLM-10654,2021-12-04,2022-01-31,2022-08-01,65723.22</t>
  </si>
  <si>
    <t>CLM-10159,2023-04-05,2023-04-25,2023-07-25,40506.48</t>
  </si>
  <si>
    <t>CLM-10784,2022-11-25,2022-12-09,2024-03-31,4719.78</t>
  </si>
  <si>
    <t>CLM-10699,2024-06-30,2024-07-08,2024-11-30,83508.95</t>
  </si>
  <si>
    <t>CLM-10239,2023-09-22,2023-11-08,2025-03-17,68189.61</t>
  </si>
  <si>
    <t>CLM-10401,2022-06-07,2022-08-10,2023-02-13,48076.82</t>
  </si>
  <si>
    <t>CLM-10346,2022-10-15,,2024-05-30,75456.33</t>
  </si>
  <si>
    <t>CLM-10778,2020-09-16,2020-09-22,2020-11-28,52544.45</t>
  </si>
  <si>
    <t>CLM-10754,2023-12-13,,2024-09-19,-8428.9</t>
  </si>
  <si>
    <t>CLM-10296,2021-12-26,2022-02-17,2023-06-08,72448.02</t>
  </si>
  <si>
    <t>CLM-10130,2020-12-06,2021-02-18,2021-06-21,58506.6</t>
  </si>
  <si>
    <t>CLM-10798,2024-02-19,2024-03-17,2024-09-11,24488.82</t>
  </si>
  <si>
    <t>CLM-10086,2023-08-01,2023-10-18,2025-02-07,14405.77</t>
  </si>
  <si>
    <t>CLM-10673,2021-02-09,2021-04-06,2021-07-20,39945.95</t>
  </si>
  <si>
    <t>CLM-10256,2024-04-04,2024-07-02,2024-11-20,53365.3</t>
  </si>
  <si>
    <t>CLM-10097,2021-04-13,2021-06-26,2022-09-06,14547.63</t>
  </si>
  <si>
    <t>CLM-10145,2020-01-21,2020-03-11,2021-01-24,49678.97</t>
  </si>
  <si>
    <t>CLM-10534,2021-04-08,2021-04-10,2021-12-26,7461.32</t>
  </si>
  <si>
    <t>CLM-10105,2024-03-28,2024-05-31,2024-11-01,-22265.14</t>
  </si>
  <si>
    <t>CLM-10025,2023-04-02,2023-06-03,2024-08-22,73288.41</t>
  </si>
  <si>
    <t>CLM-10389,2023-04-04,2023-06-27,2023-07-22,26129.45</t>
  </si>
  <si>
    <t>CLM-10364,2024-06-19,2024-07-06,2025-04-01,51649.84</t>
  </si>
  <si>
    <t>CLM-10438,2021-10-20,2021-11-28,2022-02-26,59452.56</t>
  </si>
  <si>
    <t>CLM-10006,2024-06-27,2024-08-13,2025-03-27,52826.69</t>
  </si>
  <si>
    <t>CLM-10680,2022-12-29,2023-01-30,2024-03-25,78251.57</t>
  </si>
  <si>
    <t>CLM-10138,2023-02-27,2023-05-07,2024-02-22,11885.86</t>
  </si>
  <si>
    <t>CLM-10253,2021-09-30,2021-11-04,2022-07-16,23779.32</t>
  </si>
  <si>
    <t>CLM-10650,2021-06-25,2021-07-31,2021-11-21,77145.88</t>
  </si>
  <si>
    <t>CLM-10338,2021-07-24,2021-08-15,2022-11-13,49919.85</t>
  </si>
  <si>
    <t>CLM-10710,2021-03-15,2021-05-31,2021-12-25,22947.92</t>
  </si>
  <si>
    <t>CLM-10422,2023-11-02,2023-12-15,2023-09-16,57048.85</t>
  </si>
  <si>
    <t>CLM-10451,2022-11-29,2023-01-10,2023-10-04,9306.64</t>
  </si>
  <si>
    <t>CLM-10381,2023-11-09,2023-11-27,2023-10-14,60403.15</t>
  </si>
  <si>
    <t>CLM-10268,2023-11-02,2023-12-19,2024-04-25,-13863.76</t>
  </si>
  <si>
    <t>CLM-10664,2022-09-26,2022-10-13,2023-05-13,-427535.57</t>
  </si>
  <si>
    <t>CLM-10629,2021-09-22,2021-09-24,2022-06-15,43659.8</t>
  </si>
  <si>
    <t>CLM-10401,2022-06-07,2022-08-10,2023-03-02,41077.07</t>
  </si>
  <si>
    <t>CLM-10252,2022-08-02,2022-10-01,2023-03-18,3441.76</t>
  </si>
  <si>
    <t>CLM-10351,2020-01-23,2020-01-25,2020-04-09,77285.85</t>
  </si>
  <si>
    <t>CLM-10282,2022-10-12,2022-11-30,2023-07-03,32954.57</t>
  </si>
  <si>
    <t>CLM-10384,2022-07-02,2022-08-08,2023-07-16,33146.05</t>
  </si>
  <si>
    <t>CLM-10012,2020-04-11,2020-05-02,2020-06-18,14441.91</t>
  </si>
  <si>
    <t>CLM-10570,2021-09-30,2021-12-06,2022-06-30,25449.05</t>
  </si>
  <si>
    <t>CLM-10316,2020-03-24,2020-04-19,2020-05-26,-16541.67</t>
  </si>
  <si>
    <t>CLM-10021,2021-03-18,2021-05-16,2021-11-19,13770.78</t>
  </si>
  <si>
    <t>CLM-10658,2022-08-26,2022-10-20,2023-03-09,57436.29</t>
  </si>
  <si>
    <t>CLM-10398,2022-12-11,2023-02-27,2023-07-15,7417.03</t>
  </si>
  <si>
    <t>CLM-10076,2023-01-08,2023-03-22,2023-05-09,52503.84</t>
  </si>
  <si>
    <t>CLM-10276,2022-06-03,2022-08-28,2023-09-22,42497.83</t>
  </si>
  <si>
    <t>CLM-10244,2022-04-04,2022-06-13,2023-03-15,-4151.57</t>
  </si>
  <si>
    <t>CLM-10051,2021-10-02,2021-12-29,2022-04-12,33395.59</t>
  </si>
  <si>
    <t>CLM-10669,2021-12-27,2022-01-28,2022-05-25,64739.39</t>
  </si>
  <si>
    <t>CLM-10305,2023-10-04,2023-11-16,2024-07-11,38869.18</t>
  </si>
  <si>
    <t>CLM-10569,2021-02-06,2021-03-08,2021-07-19,7719.37</t>
  </si>
  <si>
    <t>CLM-10459,2020-01-06,2020-03-05,2021-06-01,16730.12</t>
  </si>
  <si>
    <t>CLM-10143,2023-08-12,2023-09-15,2024-09-04,23125.23</t>
  </si>
  <si>
    <t>CLM-10296,2021-12-26,2022-02-17,2023-10-03,-7192.33</t>
  </si>
  <si>
    <t>CLM-10717,2021-07-25,2021-10-05,2021-11-23,12002.39</t>
  </si>
  <si>
    <t>CLM-10270,2023-06-06,2023-08-19,2023-09-15,33853.68</t>
  </si>
  <si>
    <t>CLM-10072,2021-07-24,2021-09-24,2022-12-20,9028.81</t>
  </si>
  <si>
    <t>CLM-10123,2022-08-08,2022-10-14,2023-11-14,69031.66</t>
  </si>
  <si>
    <t>CLM-10751,2024-03-24,2024-05-25,2025-02-21,76130.37</t>
  </si>
  <si>
    <t>CLM-10188,2020-04-03,2020-05-28,2020-12-06,67518.76</t>
  </si>
  <si>
    <t>CLM-10641,2020-01-14,2020-04-05,2020-07-24,37276.63</t>
  </si>
  <si>
    <t>CLM-10394,2024-09-23,2024-11-29,2025-05-12,45946.57</t>
  </si>
  <si>
    <t>CLM-10366,2023-03-21,2023-03-23,2024-03-01,-1423.77</t>
  </si>
  <si>
    <t>CLM-10791,2022-01-19,2022-01-23,2022-05-25,58104.09</t>
  </si>
  <si>
    <t>CLM-10078,2023-04-06,2023-05-26,2024-07-16,79814.76</t>
  </si>
  <si>
    <t>CLM-10608,2020-06-26,2020-08-20,2021-02-01,-6470.71</t>
  </si>
  <si>
    <t>CLM-10257,2023-04-29,2023-07-26,2023-12-10,6694.96</t>
  </si>
  <si>
    <t>CLM-10779,2023-07-09,2023-09-12,2024-10-06,32078.0</t>
  </si>
  <si>
    <t>CLM-10538,2021-12-30,2022-03-26,2022-11-14,82610.78</t>
  </si>
  <si>
    <t>CLM-10164,2023-05-27,2023-06-08,2024-10-24,-16447.46</t>
  </si>
  <si>
    <t>CLM-10665,2020-10-22,2020-12-05,2021-09-14,25986.39</t>
  </si>
  <si>
    <t>CLM-10715,2022-01-13,,2022-07-28,68267.61</t>
  </si>
  <si>
    <t>CLM-10312,2021-07-01,2021-08-18,2023-04-05,70667.1</t>
  </si>
  <si>
    <t>CLM-10632,2020-11-27,2021-02-19,2022-01-06,-2097.14</t>
  </si>
  <si>
    <t>CLM-10461,2023-06-03,2023-06-28,2023-08-27,8371.05</t>
  </si>
  <si>
    <t>CLM-10535,2024-04-14,2024-06-12,2025-05-31,3095.71</t>
  </si>
  <si>
    <t>CLM-10704,2022-10-31,2022-12-12,2023-06-25,53129.94</t>
  </si>
  <si>
    <t>CLM-10697,2023-11-11,2024-01-28,2024-04-26,27554.85</t>
  </si>
  <si>
    <t>CLM-10021,2021-03-18,2021-05-16,2022-11-17,61205.72</t>
  </si>
  <si>
    <t>CLM-10254,2023-06-06,2023-06-14,2023-07-02,68331.84</t>
  </si>
  <si>
    <t>CLM-10312,2021-07-01,2021-08-18,2023-03-03,47340.08</t>
  </si>
  <si>
    <t>CLM-10725,2024-11-02,2025-01-16,2025-03-24,81166.68</t>
  </si>
  <si>
    <t>CLM-10078,2023-04-06,2023-05-26,2023-07-18,68844.4</t>
  </si>
  <si>
    <t>CLM-10649,2023-01-26,2023-02-26,2023-06-01,35266.31</t>
  </si>
  <si>
    <t>CLM-10751,2024-03-24,2024-05-25,2024-10-05,-16579.45</t>
  </si>
  <si>
    <t>CLM-10766,2021-10-20,2021-11-29,2022-03-22,36763.06</t>
  </si>
  <si>
    <t>CLM-10476,2023-05-24,2023-07-26,2025-02-10,39248.78</t>
  </si>
  <si>
    <t>CLM-10113,2020-02-04,2020-04-04,2020-07-19,17599.87</t>
  </si>
  <si>
    <t>CLM-10722,2021-08-07,2021-09-22,2021-11-15,13435.5</t>
  </si>
  <si>
    <t>CLM-10754,2023-12-13,,2024-04-08,10460.86</t>
  </si>
  <si>
    <t>CLM-10760,2024-07-12,2024-09-21,2025-01-26,63400.34</t>
  </si>
  <si>
    <t>CLM-10298,2022-05-26,2022-07-29,2023-04-26,-15801.26</t>
  </si>
  <si>
    <t>CLM-10353,2020-04-10,2020-07-04,2020-11-09,9500.64</t>
  </si>
  <si>
    <t>CLM-10452,2024-01-17,2024-03-27,2024-09-27,22884.21</t>
  </si>
  <si>
    <t>CLM-10538,2021-12-30,2022-03-26,2022-08-09,69178.02</t>
  </si>
  <si>
    <t>CLM-10356,2020-02-16,2020-03-08,2020-05-07,82142.19</t>
  </si>
  <si>
    <t>CLM-10463,2022-07-08,2022-08-18,2023-05-04,46668.14</t>
  </si>
  <si>
    <t>CLM-10497,2022-07-16,2022-07-23,2023-02-04,80399.28</t>
  </si>
  <si>
    <t>CLM-10366,2023-03-21,2023-03-23,2024-09-06,45036.85</t>
  </si>
  <si>
    <t>CLM-10557,2020-10-10,2020-12-13,2021-04-19,50575.89</t>
  </si>
  <si>
    <t>CLM-10396,2024-11-11,2024-11-28,2025-01-07,11153.64</t>
  </si>
  <si>
    <t>CLM-10758,2021-01-31,2021-03-23,2021-12-29,42562.95</t>
  </si>
  <si>
    <t>CLM-10247,2023-06-10,2023-09-03,2023-12-05,33787.19</t>
  </si>
  <si>
    <t>CLM-10327,2024-05-12,,2024-08-23,10194.45</t>
  </si>
  <si>
    <t>CLM-10177,2020-02-03,2020-03-24,2020-06-21,10217.25</t>
  </si>
  <si>
    <t>CLM-10016,2024-12-01,,2025-03-29,-10401.39</t>
  </si>
  <si>
    <t>CLM-10179,2022-05-13,2022-07-28,2023-04-14,22955.11</t>
  </si>
  <si>
    <t>CLM-10116,2023-04-19,2023-07-04,2024-03-04,34361.42</t>
  </si>
  <si>
    <t>CLM-10096,2022-01-02,2022-01-10,2022-03-27,4954.34</t>
  </si>
  <si>
    <t>CLM-10678,2022-12-22,2023-03-11,2023-10-06,80263.01</t>
  </si>
  <si>
    <t>CLM-10205,2020-05-07,2020-05-31,2020-11-07,67669.76</t>
  </si>
  <si>
    <t>CLM-10260,2021-03-10,2021-05-26,2022-05-30,7906.15</t>
  </si>
  <si>
    <t>CLM-10321,2020-08-16,2020-11-09,2021-07-01,2538.7</t>
  </si>
  <si>
    <t>CLM-10669,2021-12-27,2022-01-28,2022-10-01,73456.92</t>
  </si>
  <si>
    <t>CLM-10713,2021-07-28,2021-07-30,2022-02-14,66657.94</t>
  </si>
  <si>
    <t>CLM-10708,2021-11-16,2021-12-23,2023-06-18,82838.76</t>
  </si>
  <si>
    <t>CLM-10576,2022-12-16,2023-02-17,2023-09-27,53712.38</t>
  </si>
  <si>
    <t>CLM-10231,2021-01-02,2021-02-19,2022-04-28,53237.84</t>
  </si>
  <si>
    <t>CLM-10150,2021-06-20,2021-06-25,2021-07-30,55523.71</t>
  </si>
  <si>
    <t>CLM-10415,2021-08-30,2021-11-09,2022-07-10,45156.88</t>
  </si>
  <si>
    <t>CLM-10199,2021-11-26,,2022-10-23,81351.57</t>
  </si>
  <si>
    <t>CLM-10311,2020-12-29,2021-01-17,2021-07-05,76510.99</t>
  </si>
  <si>
    <t>CLM-10336,2023-07-13,2023-07-30,2023-10-17,-9024.29</t>
  </si>
  <si>
    <t>CLM-10509,2021-08-11,2021-08-28,2022-03-19,51067.95</t>
  </si>
  <si>
    <t>CLM-10005,2021-06-15,2021-07-16,2022-05-29,-12118.69</t>
  </si>
  <si>
    <t>CLM-10319,2024-05-14,2024-05-31,2025-01-20,75788.03</t>
  </si>
  <si>
    <t>CLM-10202,2022-04-25,2022-06-03,2023-12-15,54374.59</t>
  </si>
  <si>
    <t>CLM-10056,2020-11-30,2021-01-08,2021-04-02,-11407.35</t>
  </si>
  <si>
    <t>CLM-10588,2020-06-01,2020-08-05,2021-04-27,45488.93</t>
  </si>
  <si>
    <t>CLM-10039,2024-08-19,2024-10-04,2025-05-17,69024.94</t>
  </si>
  <si>
    <t>CLM-10518,2024-07-01,2024-08-11,2024-09-06,61835.29</t>
  </si>
  <si>
    <t>CLM-10378,2023-10-04,2023-10-29,2024-04-27,23499.45</t>
  </si>
  <si>
    <t>CLM-10193,2023-03-03,2023-05-29,2024-09-02,-17922.0</t>
  </si>
  <si>
    <t>CLM-10284,2023-06-03,2023-06-13,2024-05-18,53351.6</t>
  </si>
  <si>
    <t>CLM-10363,2020-02-29,2020-04-05,2020-08-09,-6883.01</t>
  </si>
  <si>
    <t>CLM-10692,2021-08-14,2021-11-11,2021-07-01,-3446.21</t>
  </si>
  <si>
    <t>CLM-10297,2024-01-11,2024-02-17,2025-01-01,32731.79</t>
  </si>
  <si>
    <t>CLM-10515,2023-11-02,2023-12-02,2024-07-12,37014.67</t>
  </si>
  <si>
    <t>CLM-10084,2022-06-24,2022-08-20,2024-02-09,20563.07</t>
  </si>
  <si>
    <t>CLM-10532,2023-12-24,2024-02-25,2024-12-29,60478.67</t>
  </si>
  <si>
    <t>CLM-10388,2022-03-12,2022-03-21,2023-02-18,44440.69</t>
  </si>
  <si>
    <t>CLM-10451,2022-11-29,2023-01-10,2024-06-23,-19088.0</t>
  </si>
  <si>
    <t>CLM-10509,2021-08-11,2021-08-28,2022-06-24,79238.58</t>
  </si>
  <si>
    <t>CLM-10283,2022-06-16,,2023-03-17,66266.62</t>
  </si>
  <si>
    <t>CLM-10644,2023-02-01,2023-02-17,2024-03-31,20118.41</t>
  </si>
  <si>
    <t>CLM-10586,2024-12-12,2025-03-09,2025-04-26,31452.91</t>
  </si>
  <si>
    <t>CLM-10569,2021-02-06,2021-03-08,2021-12-26,4246.4</t>
  </si>
  <si>
    <t>CLM-10048,2024-06-03,2024-07-20,2024-12-09,3154.64</t>
  </si>
  <si>
    <t>CLM-10001,2020-07-08,2020-09-11,2021-03-22,2128.85</t>
  </si>
  <si>
    <t>CLM-10585,2024-06-01,2024-08-16,2025-05-25,23718.26</t>
  </si>
  <si>
    <t>CLM-10101,2020-08-29,2020-10-25,2021-03-22,31385.58</t>
  </si>
  <si>
    <t>CLM-10112,2022-08-24,2022-10-23,2023-04-18,-4202.21</t>
  </si>
  <si>
    <t>CLM-10778,2020-09-16,2020-09-22,2021-06-07,38927.75</t>
  </si>
  <si>
    <t>CLM-10255,2020-09-29,2020-10-29,2021-10-12,67074.82</t>
  </si>
  <si>
    <t>CLM-10752,2021-01-26,2021-03-05,2021-11-29,38238.18</t>
  </si>
  <si>
    <t>CLM-10425,2024-12-26,2024-12-28,2025-03-12,78833.3</t>
  </si>
  <si>
    <t>CLM-10694,2020-10-10,2020-10-13,2021-04-23,58534.95</t>
  </si>
  <si>
    <t>CLM-10312,2021-07-01,2021-08-18,2022-03-31,-8616.51</t>
  </si>
  <si>
    <t>CLM-10303,2021-03-20,2021-04-27,2021-09-20,38502.64</t>
  </si>
  <si>
    <t>CLM-10137,2023-01-10,2023-02-11,2025-01-18,80827.5</t>
  </si>
  <si>
    <t>CLM-10513,2020-05-28,2020-05-29,2021-03-13,-12320.61</t>
  </si>
  <si>
    <t>CLM-10333,2020-08-21,2020-10-11,2021-06-08,19745.98</t>
  </si>
  <si>
    <t>CLM-10078,2023-04-06,2023-05-26,2024-04-19,-15359.77</t>
  </si>
  <si>
    <t>CLM-10273,2023-04-03,2023-06-24,2023-09-12,23145.84</t>
  </si>
  <si>
    <t>CLM-10468,2023-04-09,2023-05-27,2024-02-29,57114.71</t>
  </si>
  <si>
    <t>CLM-10622,2023-03-12,2023-03-27,2023-07-20,71519.1</t>
  </si>
  <si>
    <t>CLM-10213,2023-06-19,2023-07-13,2024-11-26,42990.99</t>
  </si>
  <si>
    <t>CLM-10685,2020-03-16,2020-03-17,2020-12-15,37894.41</t>
  </si>
  <si>
    <t>CLM-10720,2023-01-28,2023-03-11,2023-11-13,61236.43</t>
  </si>
  <si>
    <t>CLM-10432,2022-01-11,,2022-04-16,26991.95</t>
  </si>
  <si>
    <t>CLM-10406,2020-04-05,,2020-07-04,12861.46</t>
  </si>
  <si>
    <t>CLM-10588,2020-06-01,2020-08-05,2020-10-12,-24209.57</t>
  </si>
  <si>
    <t>CLM-10411,2020-05-25,,2020-10-10,42986.35</t>
  </si>
  <si>
    <t>CLM-10057,2020-05-31,2020-06-23,2021-09-23,7249.71</t>
  </si>
  <si>
    <t>CLM-10045,2021-10-18,2021-11-28,2022-01-26,-11134.14</t>
  </si>
  <si>
    <t>CLM-10510,2022-12-19,2023-01-26,2024-03-30,54149.34</t>
  </si>
  <si>
    <t>CLM-10262,2022-10-24,2022-12-02,2023-07-08,40783.92</t>
  </si>
  <si>
    <t>CLM-10077,2021-08-28,2021-09-04,2022-02-17,41287.94</t>
  </si>
  <si>
    <t>CLM-10354,2022-12-21,2022-12-23,2023-06-06,60454.15</t>
  </si>
  <si>
    <t>CLM-10600,2022-03-31,2022-06-22,2022-12-29,68840.67</t>
  </si>
  <si>
    <t>CLM-10356,2020-02-16,2020-03-08,2020-04-11,58732.13</t>
  </si>
  <si>
    <t>CLM-10072,2021-07-24,2021-09-24,2022-09-16,80657.48</t>
  </si>
  <si>
    <t>CLM-10164,2023-05-27,2023-06-08,2024-06-06,73926.75</t>
  </si>
  <si>
    <t>CLM-10371,2020-05-14,2020-06-27,2020-11-04,12840.8</t>
  </si>
  <si>
    <t>CLM-10252,2022-08-02,2022-10-01,2024-05-02,79398.69</t>
  </si>
  <si>
    <t>CLM-10060,2023-02-13,2023-03-14,2023-07-30,33072.54</t>
  </si>
  <si>
    <t>CLM-10133,2023-07-29,2023-10-10,2024-09-15,68280.58</t>
  </si>
  <si>
    <t>CLM-10568,2023-03-22,2023-04-04,2024-02-22,69770.53</t>
  </si>
  <si>
    <t>CLM-10653,2024-04-05,2024-07-01,2024-03-10,35091.63</t>
  </si>
  <si>
    <t>CLM-10730,2020-03-13,2020-03-31,2020-10-25,43031.59</t>
  </si>
  <si>
    <t>CLM-10403,2024-07-09,2024-07-23,2025-05-07,19365.85</t>
  </si>
  <si>
    <t>CLM-10330,2021-09-09,2021-10-11,2021-11-19,56153.59</t>
  </si>
  <si>
    <t>CLM-10014,2022-04-23,2022-06-30,2022-12-17,28076.45</t>
  </si>
  <si>
    <t>CLM-10500,2024-02-18,2024-04-24,2024-07-20,6858.85</t>
  </si>
  <si>
    <t>CLM-10301,2023-08-02,2023-09-16,2025-03-29,39031.97</t>
  </si>
  <si>
    <t>CLM-10022,2022-03-04,2022-05-25,2022-07-05,83598.72</t>
  </si>
  <si>
    <t>CLM-10027,2021-06-20,2021-08-27,2021-09-24,13408.81</t>
  </si>
  <si>
    <t>CLM-10644,2023-02-01,2023-02-17,2023-09-02,26055.34</t>
  </si>
  <si>
    <t>CLM-10494,2024-07-25,2024-10-05,2025-02-10,34145.08</t>
  </si>
  <si>
    <t>CLM-10298,2022-05-26,2022-07-29,2022-12-23,14410.42</t>
  </si>
  <si>
    <t>CLM-10508,2022-06-05,2022-08-05,2023-03-03,48898.81</t>
  </si>
  <si>
    <t>CLM-10148,2022-03-26,,2023-07-25,47529.38</t>
  </si>
  <si>
    <t>CLM-10087,2024-09-13,2024-09-29,2025-03-05,56239.69</t>
  </si>
  <si>
    <t>CLM-10414,2022-10-31,2022-12-06,2023-04-22,19194.5</t>
  </si>
  <si>
    <t>CLM-10531,2023-11-14,2023-11-26,2024-05-07,67743.31</t>
  </si>
  <si>
    <t>CLM-10707,2020-02-20,2020-04-20,2020-11-28,-1461.56</t>
  </si>
  <si>
    <t>CLM-10225,2022-12-14,2023-02-01,2024-07-18,9657.83</t>
  </si>
  <si>
    <t>CLM-10041,2023-01-01,2023-02-09,2023-10-15,35400.46</t>
  </si>
  <si>
    <t>CLM-10188,2020-04-03,2020-05-28,2021-02-05,11660.2</t>
  </si>
  <si>
    <t>CLM-10290,2024-01-22,2024-02-13,2024-09-24,42814.11</t>
  </si>
  <si>
    <t>CLM-10331,2020-01-09,2020-01-20,2022-03-10,35568.37</t>
  </si>
  <si>
    <t>CLM-10453,2022-02-14,2022-03-16,2022-11-08,-4883.49</t>
  </si>
  <si>
    <t>CLM-10331,2020-01-09,2020-01-20,2021-04-27,-18589.09</t>
  </si>
  <si>
    <t>CLM-10241,2021-01-14,2021-04-13,2021-08-05,23397.68</t>
  </si>
  <si>
    <t>CLM-10209,2024-01-20,2024-01-26,2025-02-17,-6908.01</t>
  </si>
  <si>
    <t>CLM-10579,2020-07-05,2020-08-15,2021-05-04,11096.24</t>
  </si>
  <si>
    <t>CLM-10463,2022-07-08,2022-08-18,2022-10-27,-10435.37</t>
  </si>
  <si>
    <t>CLM-10048,2024-06-03,2024-07-20,2025-04-26,42567.22</t>
  </si>
  <si>
    <t>CLM-10077,2021-08-28,2021-09-04,2022-03-27,64547.02</t>
  </si>
  <si>
    <t>CLM-10619,2022-07-06,2022-07-10,2023-01-08,51150.95</t>
  </si>
  <si>
    <t>CLM-10081,2022-03-12,2022-03-30,2022-12-19,66288.02</t>
  </si>
  <si>
    <t>CLM-10254,2023-06-06,2023-06-14,2024-01-14,-20640.44</t>
  </si>
  <si>
    <t>CLM-10201,2024-11-01,2025-01-21,2025-04-22,-5017.06</t>
  </si>
  <si>
    <t>CLM-10267,2020-04-20,2020-04-21,2020-10-28,-24292.92</t>
  </si>
  <si>
    <t>CLM-10648,2022-06-02,2022-07-31,2022-10-24,47648.07</t>
  </si>
  <si>
    <t>CLM-10208,2021-07-08,2021-08-11,2021-10-27,22098.92</t>
  </si>
  <si>
    <t>CLM-10276,2022-06-03,2022-08-28,2023-07-02,79352.61</t>
  </si>
  <si>
    <t>CLM-10416,2022-03-28,,2022-11-18,18029.02</t>
  </si>
  <si>
    <t>CLM-10665,2020-10-22,2020-12-05,2021-04-02,28215.64</t>
  </si>
  <si>
    <t>CLM-10799,2021-09-10,2021-11-30,2022-03-12,29795.8</t>
  </si>
  <si>
    <t>CLM-10628,2024-06-01,2024-07-05,2024-09-06,21370.36</t>
  </si>
  <si>
    <t>CLM-10222,2024-01-06,2024-04-01,2024-06-01,6813.99</t>
  </si>
  <si>
    <t>CLM-10306,2024-08-02,2024-08-05,2025-04-27,16586.38</t>
  </si>
  <si>
    <t>CLM-10365,2021-08-01,2021-08-17,2022-02-14,75537.36</t>
  </si>
  <si>
    <t>CLM-10760,2024-07-12,2024-09-21,2025-04-07,42795.29</t>
  </si>
  <si>
    <t>CLM-10753,2022-06-29,2022-08-01,2022-09-29,2628.28</t>
  </si>
  <si>
    <t>CLM-10093,2020-09-30,2020-11-18,2021-09-06,3780.55</t>
  </si>
  <si>
    <t>CLM-10476,2023-05-24,2023-07-26,2023-10-02,-3215.93</t>
  </si>
  <si>
    <t>CLM-10091,2022-03-03,2022-05-07,2023-03-29,10044.22</t>
  </si>
  <si>
    <t>CLM-10146,2020-09-10,2020-11-21,2021-08-07,52357.58</t>
  </si>
  <si>
    <t>CLM-10328,2024-10-02,2024-11-16,2025-05-18,-12481.08</t>
  </si>
  <si>
    <t>CLM-10183,2024-10-14,2024-10-22,2025-05-05,9819.07</t>
  </si>
  <si>
    <t>CLM-10146,2020-09-10,2020-11-21,2022-02-26,10043.77</t>
  </si>
  <si>
    <t>CLM-10164,2023-05-27,2023-06-08,2024-09-07,6543.79</t>
  </si>
  <si>
    <t>CLM-10682,2022-11-29,2023-01-04,2023-12-26,37770.62</t>
  </si>
  <si>
    <t>CLM-10232,2021-09-05,2021-09-10,2022-04-24,-5047.7</t>
  </si>
  <si>
    <t>CLM-10458,2022-10-02,2022-10-24,2023-04-22,51484.53</t>
  </si>
  <si>
    <t>CLM-10340,2023-08-25,2023-10-07,2023-11-30,-9418.94</t>
  </si>
  <si>
    <t>CLM-10139,2024-01-29,2024-02-27,2025-01-16,29088.88</t>
  </si>
  <si>
    <t>CLM-10506,2022-02-14,2022-03-24,2022-12-31,18211.81</t>
  </si>
  <si>
    <t>CLM-10093,2020-09-30,2020-11-18,2021-11-14,-2393.02</t>
  </si>
  <si>
    <t>CLM-10720,2023-01-28,2023-03-11,2023-07-30,79043.15</t>
  </si>
  <si>
    <t>CLM-10067,2021-04-24,2021-05-11,2022-05-15,16760.59</t>
  </si>
  <si>
    <t>CLM-10268,2023-11-02,2023-12-19,2025-03-03,19330.59</t>
  </si>
  <si>
    <t>CLM-10300,2024-08-17,2024-10-02,2025-04-10,-1950.73</t>
  </si>
  <si>
    <t>CLM-10027,2021-06-20,2021-08-27,2022-03-12,2910.27</t>
  </si>
  <si>
    <t>CLM-10787,2022-05-27,,2023-09-21,72576.25</t>
  </si>
  <si>
    <t>CLM-10175,2021-11-06,2021-11-19,2022-07-10,54702.04</t>
  </si>
  <si>
    <t>CLM-10029,2021-03-21,2021-03-31,2021-06-04,77426.78</t>
  </si>
  <si>
    <t>CLM-10074,2022-05-14,2022-06-22,2022-11-15,14981.7</t>
  </si>
  <si>
    <t>CLM-10545,2022-06-02,2022-07-17,2023-02-21,13023.19</t>
  </si>
  <si>
    <t>CLM-10504,2024-10-03,2024-11-13,2024-12-20,-15531.6</t>
  </si>
  <si>
    <t>CLM-10129,2020-03-20,2020-04-22,2021-08-08,-18253.52</t>
  </si>
  <si>
    <t>CLM-10259,2022-04-20,2022-06-24,2022-10-05,22397.44</t>
  </si>
  <si>
    <t>CLM-10023,2021-07-05,2021-07-16,2021-12-08,-2516.96</t>
  </si>
  <si>
    <t>CLM-10476,2023-05-24,2023-07-26,2024-03-09,66713.64</t>
  </si>
  <si>
    <t>CLM-10462,2020-07-23,2020-08-15,2021-03-25,61867.27</t>
  </si>
  <si>
    <t>CLM-10180,2022-02-23,2022-04-26,2023-03-23,64522.52</t>
  </si>
  <si>
    <t>CLM-10445,2021-07-18,2021-08-18,2022-07-13,72588.87</t>
  </si>
  <si>
    <t>CLM-10426,2023-10-14,2023-11-25,2024-10-29,38241.63</t>
  </si>
  <si>
    <t>CLM-10799,2021-09-10,2021-11-30,2022-06-19,35629.55</t>
  </si>
  <si>
    <t>CLM-10761,2022-05-24,2022-07-03,2023-08-02,-10355.47</t>
  </si>
  <si>
    <t>CLM-10556,2022-02-22,2022-03-30,2022-08-13,15899.85</t>
  </si>
  <si>
    <t>CLM-10157,2020-12-19,2021-01-27,2022-01-06,2943.72</t>
  </si>
  <si>
    <t>CLM-10585,2024-06-01,2024-08-16,2024-11-24,46954.85</t>
  </si>
  <si>
    <t>CLM-10055,2022-02-19,2022-05-07,2022-08-15,46082.99</t>
  </si>
  <si>
    <t>CLM-10173,2021-10-05,2021-12-04,2022-06-27,-24219.2</t>
  </si>
  <si>
    <t>CLM-10715,2022-01-13,,2022-10-26,82344.08</t>
  </si>
  <si>
    <t>CLM-10350,2021-06-25,2021-07-30,2021-11-29,48126.87</t>
  </si>
  <si>
    <t>CLM-10221,2022-02-14,2022-04-25,2022-05-25,-20176.26</t>
  </si>
  <si>
    <t>CLM-10785,2021-05-19,2021-08-03,2022-08-19,22884.34</t>
  </si>
  <si>
    <t>CLM-10315,2024-10-19,2024-11-19,2024-12-24,24081.88</t>
  </si>
  <si>
    <t>CLM-10084,2022-06-24,2022-08-20,2023-09-06,32476.05</t>
  </si>
  <si>
    <t>CLM-10387,2022-08-14,2022-09-25,2023-05-07,36694.11</t>
  </si>
  <si>
    <t>CLM-10182,2024-04-04,2024-04-15,2024-11-08,79024.62</t>
  </si>
  <si>
    <t>CLM-10371,2020-05-14,2020-06-27,2021-05-04,12711.3</t>
  </si>
  <si>
    <t>CLM-10685,2020-03-16,2020-03-17,2021-04-21,25704.46</t>
  </si>
  <si>
    <t>CLM-10611,2022-04-22,2022-06-11,2022-08-21,55138.66</t>
  </si>
  <si>
    <t>CLM-10495,2020-05-14,2020-08-08,2021-01-28,-12528.86</t>
  </si>
  <si>
    <t>CLM-10483,2021-02-16,2021-03-07,2021-04-07,15307.23</t>
  </si>
  <si>
    <t>CLM-10007,2022-12-13,2023-01-27,2023-12-12,-19147.45</t>
  </si>
  <si>
    <t>CLM-10666,2022-01-27,2022-03-02,2022-09-03,71602.2</t>
  </si>
  <si>
    <t>CLM-10182,2024-04-04,2024-04-15,2024-09-08,54701.33</t>
  </si>
  <si>
    <t>CLM-10383,2023-06-20,2023-07-10,2024-07-20,34410.56</t>
  </si>
  <si>
    <t>CLM-10101,2020-08-29,2020-10-25,2020-12-25,50666.76</t>
  </si>
  <si>
    <t>CLM-10332,2023-04-25,2023-06-10,2024-07-08,40884.74</t>
  </si>
  <si>
    <t>CLM-10560,2022-09-25,2022-10-20,2023-09-04,84890.42</t>
  </si>
  <si>
    <t>CLM-10404,2021-12-06,2022-01-13,2022-03-30,25960.29</t>
  </si>
  <si>
    <t>CLM-10258,2022-09-21,2022-12-07,2024-02-14,31047.45</t>
  </si>
  <si>
    <t>CLM-10515,2023-11-02,2023-12-02,2024-10-12,84678.68</t>
  </si>
  <si>
    <t>CLM-10202,2022-04-25,2022-06-03,2023-07-01,18274.71</t>
  </si>
  <si>
    <t>CLM-10035,2023-06-12,2023-08-11,2024-04-16,72109.81</t>
  </si>
  <si>
    <t>CLM-10224,2020-11-06,2021-01-11,2022-10-19,56191.34</t>
  </si>
  <si>
    <t>CLM-10268,2023-11-02,2023-12-19,2023-09-20,71722.3</t>
  </si>
  <si>
    <t>CLM-10214,2020-08-21,2020-10-01,2021-03-11,50598.6</t>
  </si>
  <si>
    <t>CLM-10576,2022-12-16,2023-02-17,2023-10-28,-21437.34</t>
  </si>
  <si>
    <t>CLM-10056,2020-11-30,2021-01-08,2022-02-10,33095.77</t>
  </si>
  <si>
    <t>CLM-10797,2022-07-21,2022-08-09,2023-02-01,82949.94</t>
  </si>
  <si>
    <t>CLM-10311,2020-12-29,2021-01-17,2022-03-23,18898.79</t>
  </si>
  <si>
    <t>CLM-10150,2021-06-20,2021-06-25,2022-10-24,2783.01</t>
  </si>
  <si>
    <t>CLM-10672,2021-07-09,2021-08-25,2022-07-11,15759.73</t>
  </si>
  <si>
    <t>CLM-10200,2020-01-10,2020-02-20,2020-10-24,-5194.6</t>
  </si>
  <si>
    <t>CLM-10533,2022-07-26,2022-07-30,2022-09-25,83210.88</t>
  </si>
  <si>
    <t>CLM-10245,2024-07-26,2024-09-03,2025-02-18,67371.29</t>
  </si>
  <si>
    <t>CLM-10198,2021-04-17,2021-07-06,2022-10-27,6458.71</t>
  </si>
  <si>
    <t>CLM-10349,2022-02-13,2022-03-11,2022-09-04,6841.98</t>
  </si>
  <si>
    <t>CLM-10686,2023-11-14,2024-02-01,2024-07-30,73595.83</t>
  </si>
  <si>
    <t>CLM-10058,2021-04-10,2021-04-27,2022-04-14,53052.27</t>
  </si>
  <si>
    <t>CLM-10654,2021-12-04,2022-01-31,2023-05-25,57995.51</t>
  </si>
  <si>
    <t>CLM-10555,2022-12-21,2023-03-18,2023-06-13,35412.09</t>
  </si>
  <si>
    <t>CLM-10731,2020-04-05,2020-05-31,2021-02-16,25267.76</t>
  </si>
  <si>
    <t>CLM-10304,2020-11-07,2020-11-30,2021-06-25,22679.5</t>
  </si>
  <si>
    <t>CLM-10505,2021-11-07,2022-02-01,2023-08-22,9400.59</t>
  </si>
  <si>
    <t>CLM-10661,2023-08-14,2023-08-18,2024-03-16,28559.79</t>
  </si>
  <si>
    <t>CLM-10298,2022-05-26,2022-07-29,2023-06-30,47768.21</t>
  </si>
  <si>
    <t>CLM-10601,2021-10-19,2021-12-26,2022-05-02,77860.31</t>
  </si>
  <si>
    <t>CLM-10553,2022-12-07,2023-02-16,2023-08-09,48584.7</t>
  </si>
  <si>
    <t>CLM-10049,2021-03-15,2021-06-04,2022-01-07,23128.11</t>
  </si>
  <si>
    <t>CLM-10600,2022-03-31,2022-06-22,2022-08-28,-3314.98</t>
  </si>
  <si>
    <t>CLM-10558,2021-01-02,2021-03-02,2021-04-07,39829.33</t>
  </si>
  <si>
    <t>CLM-10399,2024-03-13,2024-05-31,2024-09-27,50426.25</t>
  </si>
  <si>
    <t>CLM-10280,2023-02-13,2023-04-15,2023-12-09,37329.78</t>
  </si>
  <si>
    <t>CLM-10124,2023-12-09,2024-01-19,2024-10-16,-16504.89</t>
  </si>
  <si>
    <t>CLM-10076,2023-01-08,2023-03-22,2023-09-04,18957.66</t>
  </si>
  <si>
    <t>CLM-10621,2020-01-13,2020-03-06,2020-04-29,9500.21</t>
  </si>
  <si>
    <t>CLM-10204,2022-02-15,2022-05-14,2022-10-31,-1706.6</t>
  </si>
  <si>
    <t>CLM-10433,2023-02-26,2023-04-18,2023-07-12,15735.2</t>
  </si>
  <si>
    <t>CLM-10216,2020-12-26,2021-01-26,2021-08-09,68755.24</t>
  </si>
  <si>
    <t>CLM-10790,2024-09-23,2024-10-26,2025-05-03,37740.69</t>
  </si>
  <si>
    <t>CLM-10146,2020-09-10,2020-11-21,2021-02-15,3541.27</t>
  </si>
  <si>
    <t>CLM-10632,2020-11-27,2021-02-19,2021-06-04,69648.63</t>
  </si>
  <si>
    <t>CLM-10042,2020-07-23,2020-09-27,2021-08-24,-19022.76</t>
  </si>
  <si>
    <t>CLM-10345,2024-10-28,2024-12-15,2025-04-04,25902.86</t>
  </si>
  <si>
    <t>CLM-10037,2024-04-03,2024-05-26,2024-09-02,27683.4</t>
  </si>
  <si>
    <t>CLM-10701,2022-06-23,2022-08-04,2023-03-27,5649.55</t>
  </si>
  <si>
    <t>CLM-10705,2021-11-18,2022-01-29,2022-10-23,20127.48</t>
  </si>
  <si>
    <t>CLM-10161,2020-05-28,2020-06-29,2020-12-10,-16523.94</t>
  </si>
  <si>
    <t>CLM-10417,2022-01-24,2022-03-03,2022-10-31,69006.22</t>
  </si>
  <si>
    <t>CLM-10117,2024-11-17,,2025-03-12,6394.29</t>
  </si>
  <si>
    <t>CLM-10345,2024-10-28,2024-12-15,2025-05-25,21563.21</t>
  </si>
  <si>
    <t>CLM-10373,2023-12-04,2023-12-18,2024-03-09,50179.53</t>
  </si>
  <si>
    <t>CLM-10791,2022-01-19,2022-01-23,2022-11-17,33852.34</t>
  </si>
  <si>
    <t>CLM-10779,2023-07-09,2023-09-12,2024-05-25,55705.2</t>
  </si>
  <si>
    <t>CLM-10392,2022-01-10,2022-03-09,2022-04-08,69224.19</t>
  </si>
  <si>
    <t>CLM-10464,2022-09-29,2022-11-23,2023-01-11,47899.23</t>
  </si>
  <si>
    <t>CLM-10732,2024-04-29,2024-05-02,2024-09-28,4581.91</t>
  </si>
  <si>
    <t>CLM-10377,2020-05-25,2020-07-25,2021-02-15,60269.18</t>
  </si>
  <si>
    <t>CLM-10741,2020-03-12,2020-05-26,2020-09-17,6718.79</t>
  </si>
  <si>
    <t>CLM-10136,2024-05-01,2024-06-03,2024-11-09,47500.85</t>
  </si>
  <si>
    <t>CLM-10682,2022-11-29,2023-01-04,2024-04-26,41459.66</t>
  </si>
  <si>
    <t>CLM-10301,2023-08-02,2023-09-16,2024-12-28,7545.37</t>
  </si>
  <si>
    <t>CLM-10686,2023-11-14,2024-02-01,2025-01-03,42953.94</t>
  </si>
  <si>
    <t>CLM-10335,2021-01-30,2021-03-14,2021-12-14,68471.61</t>
  </si>
  <si>
    <t>CLM-10353,2020-04-10,2020-07-04,2021-05-31,-9439.65</t>
  </si>
  <si>
    <t>CLM-10795,2020-01-24,2020-03-06,2021-04-16,-17611.28</t>
  </si>
  <si>
    <t>CLM-10311,2020-12-29,2021-01-17,2022-01-28,3378.51</t>
  </si>
  <si>
    <t>CLM-10728,2021-10-14,2021-12-24,2022-08-18,4955.11</t>
  </si>
  <si>
    <t>CLM-10676,2023-11-26,2024-01-31,2024-11-21,48574.67</t>
  </si>
  <si>
    <t>CLM-10200,2020-01-10,2020-02-20,2021-06-06,-11126.65</t>
  </si>
  <si>
    <t>CLM-10043,2022-09-09,2022-10-08,2023-01-28,55836.94</t>
  </si>
  <si>
    <t>CLM-10184,2020-12-27,2021-01-30,2022-04-07,29620.82</t>
  </si>
  <si>
    <t>CLM-10099,2022-04-18,2022-07-05,2023-04-03,28011.49</t>
  </si>
  <si>
    <t>CLM-10037,2024-04-03,2024-05-26,2025-01-13,77136.46</t>
  </si>
  <si>
    <t>CLM-10730,2020-03-13,2020-03-31,2021-06-10,44340.44</t>
  </si>
  <si>
    <t>CLM-10068,2024-11-18,2024-12-09,2025-04-16,72742.81</t>
  </si>
  <si>
    <t>CLM-10385,2023-09-23,2023-11-26,2025-04-21,48152.59</t>
  </si>
  <si>
    <t>CLM-10280,2023-02-13,2023-04-15,2023-06-18,63241.0</t>
  </si>
  <si>
    <t>CLM-10466,2021-04-19,2021-05-20,2021-07-22,55458.39</t>
  </si>
  <si>
    <t>CLM-10464,2022-09-29,2022-11-23,2023-02-01,-15072.55</t>
  </si>
  <si>
    <t>CLM-10707,2020-02-20,2020-04-20,2020-09-19,20406.38</t>
  </si>
  <si>
    <t>CLM-10529,2024-07-06,2024-08-15,2025-01-05,45494.17</t>
  </si>
  <si>
    <t>CLM-10657,2023-02-24,2023-05-21,2024-04-10,45659.4</t>
  </si>
  <si>
    <t>CLM-10390,2024-04-26,2024-05-27,2024-08-17,67853.5</t>
  </si>
  <si>
    <t>CLM-10709,2020-11-01,2021-01-16,2022-01-20,-12692.12</t>
  </si>
  <si>
    <t>CLM-10416,2022-03-28,,2023-10-15,66107.56</t>
  </si>
  <si>
    <t>CLM-10445,2021-07-18,2021-08-18,2022-08-14,33065.65</t>
  </si>
  <si>
    <t>CLM-10258,2022-09-21,2022-12-07,2023-12-02,51507.99</t>
  </si>
  <si>
    <t>CLM-10558,2021-01-02,2021-03-02,2022-05-27,25463.68</t>
  </si>
  <si>
    <t>CLM-10114,2022-11-15,2023-01-03,2022-10-19,46593.58</t>
  </si>
  <si>
    <t>CLM-10292,2020-04-20,2020-05-25,2021-09-27,26305.49</t>
  </si>
  <si>
    <t>CLM-10761,2022-05-24,2022-07-03,2022-10-21,76935.38</t>
  </si>
  <si>
    <t>CLM-10572,2022-01-05,2022-02-10,2023-01-13,5064.32</t>
  </si>
  <si>
    <t>CLM-10648,2022-06-02,2022-07-31,2022-11-21,14129.5</t>
  </si>
  <si>
    <t>CLM-10150,2021-06-20,2021-06-25,2022-04-19,52772.01</t>
  </si>
  <si>
    <t>CLM-10774,2021-09-02,2021-10-07,2021-12-01,66838.13</t>
  </si>
  <si>
    <t>CLM-10367,2022-01-04,2022-03-05,2022-07-24,63710.98</t>
  </si>
  <si>
    <t>CLM-10361,2024-08-09,2024-09-15,2025-04-27,71819.57</t>
  </si>
  <si>
    <t>CLM-10402,2021-07-28,2021-08-09,2022-01-22,30100.05</t>
  </si>
  <si>
    <t>CLM-10471,2023-07-20,2023-07-24,2023-07-04,23960.17</t>
  </si>
  <si>
    <t>CLM-10288,2022-02-17,2022-04-07,2022-10-04,5805.94</t>
  </si>
  <si>
    <t>CLM-10109,2020-09-29,2020-10-24,2022-07-27,8123.94</t>
  </si>
  <si>
    <t>CLM-10356,2020-02-16,2020-03-08,2021-05-11,41544.39</t>
  </si>
  <si>
    <t>CLM-10228,2020-02-22,2020-03-12,2020-10-30,-22992.72</t>
  </si>
  <si>
    <t>CLM-10035,2023-06-12,2023-08-11,2023-10-25,60427.04</t>
  </si>
  <si>
    <t>CLM-10042,2020-07-23,2020-09-27,2020-11-29,48712.3</t>
  </si>
  <si>
    <t>CLM-10676,2023-11-26,2024-01-31,2025-03-17,9721.15</t>
  </si>
  <si>
    <t>CLM-10513,2020-05-28,2020-05-29,2020-11-29,77431.62</t>
  </si>
  <si>
    <t>CLM-10605,2020-06-29,2020-08-08,2020-11-25,73291.98</t>
  </si>
  <si>
    <t>CLM-10374,2022-01-12,2022-02-11,2023-04-18,83969.14</t>
  </si>
  <si>
    <t>CLM-10603,2022-01-03,2022-02-24,2023-11-04,50759.41</t>
  </si>
  <si>
    <t>CLM-10770,2023-07-08,2023-08-18,2024-10-16,67026.45</t>
  </si>
  <si>
    <t>CLM-10384,2022-07-02,2022-08-08,2023-08-25,73519.39</t>
  </si>
  <si>
    <t>CLM-10467,2020-05-09,2020-07-25,2020-11-21,24231.15</t>
  </si>
  <si>
    <t>CLM-10092,2020-06-15,2020-09-08,2021-10-13,57392.01</t>
  </si>
  <si>
    <t>CLM-10781,2021-12-31,2022-01-08,2022-09-03,24707.92</t>
  </si>
  <si>
    <t>CLM-10085,2021-04-19,2021-07-03,2022-05-02,60728.05</t>
  </si>
  <si>
    <t>CLM-10621,2020-01-13,2020-03-06,2020-12-04,54738.52</t>
  </si>
  <si>
    <t>CLM-10086,2023-08-01,2023-10-18,2025-03-11,57227.66</t>
  </si>
  <si>
    <t>CLM-10067,2021-04-24,2021-05-11,2021-07-29,64538.99</t>
  </si>
  <si>
    <t>CLM-10101,2020-08-29,2020-10-25,2021-10-25,22375.77</t>
  </si>
  <si>
    <t>CLM-10170,2024-03-03,2024-04-10,2024-09-15,64759.02</t>
  </si>
  <si>
    <t>CLM-10667,2024-12-11,2025-02-25,2025-03-12,40586.38</t>
  </si>
  <si>
    <t>CLM-10123,2022-08-08,2022-10-14,2023-03-10,-1315.66</t>
  </si>
  <si>
    <t>CLM-10027,2021-06-20,2021-08-27,2022-10-30,79022.3</t>
  </si>
  <si>
    <t>CLM-10597,2021-08-12,2021-09-02,2022-08-18,18955.78</t>
  </si>
  <si>
    <t>CLM-10498,2021-09-18,2021-10-24,2022-07-17,21576.52</t>
  </si>
  <si>
    <t>CLM-10186,2020-04-14,2020-04-30,2021-02-21,-18478.4</t>
  </si>
  <si>
    <t>CLM-10235,2022-09-19,2022-12-14,2023-12-15,8280.39</t>
  </si>
  <si>
    <t>CLM-10624,2023-03-12,2023-04-18,2023-10-28,38514.03</t>
  </si>
  <si>
    <t>CLM-10275,2023-10-12,2023-12-31,2024-05-12,47225.16</t>
  </si>
  <si>
    <t>CLM-10467,2020-05-09,2020-07-25,2021-12-09,52446.65</t>
  </si>
  <si>
    <t>CLM-10758,2021-01-31,2021-03-23,2021-07-04,9859.24</t>
  </si>
  <si>
    <t>CLM-10789,2024-06-14,2024-09-05,2025-03-08,21434.89</t>
  </si>
  <si>
    <t>CLM-10044,2020-04-01,2020-06-10,2020-12-17,-24904.99</t>
  </si>
  <si>
    <t>CLM-10498,2021-09-18,2021-10-24,2022-03-07,-15916.62</t>
  </si>
  <si>
    <t>CLM-10703,2020-11-03,2021-01-20,2022-04-16,61205.74</t>
  </si>
  <si>
    <t>CLM-10513,2020-05-28,2020-05-29,2021-07-12,16947.52</t>
  </si>
  <si>
    <t>CLM-10101,2020-08-29,2020-10-25,2021-06-18,33399.72</t>
  </si>
  <si>
    <t>CLM-10729,2023-05-19,2023-07-10,2024-02-23,64867.15</t>
  </si>
  <si>
    <t>CLM-10199,2021-11-26,,2023-08-24,12896.26</t>
  </si>
  <si>
    <t>CLM-10093,2020-09-30,2020-11-18,2021-02-27,56429.68</t>
  </si>
  <si>
    <t>CLM-10075,2021-06-20,2021-09-11,2021-10-10,-12424.76</t>
  </si>
  <si>
    <t>CLM-10793,2024-04-10,2024-06-19,2025-01-10,5746.13</t>
  </si>
  <si>
    <t>CLM-10575,2021-05-18,2021-06-03,2022-02-04,20262.16</t>
  </si>
  <si>
    <t>CLM-10202,2022-04-25,2022-06-03,2023-07-18,28070.69</t>
  </si>
  <si>
    <t>CLM-10033,2024-07-15,2024-09-22,2025-04-17,-12147.83</t>
  </si>
  <si>
    <t>CLM-10095,2020-09-01,2020-11-10,2021-04-21,3703.5</t>
  </si>
  <si>
    <t>CLM-10602,2022-12-17,2023-02-18,2023-04-14,75667.07</t>
  </si>
  <si>
    <t>CLM-10652,2023-10-21,2023-12-11,2024-09-28,10949.52</t>
  </si>
  <si>
    <t>CLM-10311,2020-12-29,2021-01-17,2022-10-06,62702.85</t>
  </si>
  <si>
    <t>CLM-10630,2023-01-27,,2024-03-08,22020.32</t>
  </si>
  <si>
    <t>CLM-10065,2023-05-05,2023-07-30,2024-09-30,18171.99</t>
  </si>
  <si>
    <t>CLM-10524,2021-07-10,2021-08-06,2022-08-13,81482.46</t>
  </si>
  <si>
    <t>CLM-10230,2020-09-27,2020-11-09,2021-12-13,52284.67</t>
  </si>
  <si>
    <t>CLM-10043,2022-09-09,2022-10-08,2023-12-05,3478.46</t>
  </si>
  <si>
    <t>CLM-10469,2020-08-18,2020-10-31,2020-12-16,-21741.83</t>
  </si>
  <si>
    <t>CLM-10362,2022-08-27,2022-11-24,2023-04-13,33970.78</t>
  </si>
  <si>
    <t>CLM-10338,2021-07-24,2021-08-15,2022-02-02,-18538.25</t>
  </si>
  <si>
    <t>CLM-10215,2022-05-18,2022-06-05,2022-10-08,83966.47</t>
  </si>
  <si>
    <t>CLM-10266,2022-06-30,2022-08-20,2023-03-29,13364.66</t>
  </si>
  <si>
    <t>CLM-10719,2021-10-22,2021-12-19,2022-02-11,80703.53</t>
  </si>
  <si>
    <t>CLM-10259,2022-04-20,2022-06-24,2022-07-24,59585.69</t>
  </si>
  <si>
    <t>CLM-10560,2022-09-25,2022-10-20,2023-03-29,70274.56</t>
  </si>
  <si>
    <t>CLM-10534,2021-04-08,2021-04-10,2021-05-07,64794.72</t>
  </si>
  <si>
    <t>CLM-10664,2022-09-26,2022-10-13,2023-10-20,26580.88</t>
  </si>
  <si>
    <t>CLM-10308,2023-06-13,2023-08-18,2023-12-19,-4659.67</t>
  </si>
  <si>
    <t>CLM-10289,2021-10-20,2021-12-22,2022-10-25,52637.42</t>
  </si>
  <si>
    <t>CLM-10684,2022-05-06,2022-06-26,2023-07-22,47594.6</t>
  </si>
  <si>
    <t>CLM-10561,2024-06-15,2024-09-04,2025-03-20,26566.36</t>
  </si>
  <si>
    <t>CLM-10138,2023-02-27,2023-05-07,2024-05-03,12511.31</t>
  </si>
  <si>
    <t>CLM-10782,2023-12-30,2024-01-19,2024-09-20,-6901.12</t>
  </si>
  <si>
    <t>CLM-10284,2023-06-03,2023-06-13,2023-11-22,55217.28</t>
  </si>
  <si>
    <t>CLM-10205,2020-05-07,2020-05-31,2021-09-24,15267.47</t>
  </si>
  <si>
    <t>CLM-10795,2020-01-24,2020-03-06,2021-01-27,43766.44</t>
  </si>
  <si>
    <t>CLM-10665,2020-10-22,2020-12-05,2022-08-15,62793.52</t>
  </si>
  <si>
    <t>CLM-10516,2020-10-13,2020-10-21,2021-03-04,48792.65</t>
  </si>
  <si>
    <t>CLM-10478,2020-09-23,2020-12-14,2022-04-17,46850.74</t>
  </si>
  <si>
    <t>CLM-10349,2022-02-13,2022-03-11,2022-10-08,26316.6</t>
  </si>
  <si>
    <t>CLM-10135,2024-09-02,2024-09-14,2024-12-15,51288.61</t>
  </si>
  <si>
    <t>CLM-10330,2021-09-09,2021-10-11,2022-05-02,65970.02</t>
  </si>
  <si>
    <t>CLM-10752,2021-01-26,2021-03-05,2021-04-08,67662.64</t>
  </si>
  <si>
    <t>CLM-10562,2021-06-21,,2021-10-06,44467.53</t>
  </si>
  <si>
    <t>CLM-10683,2021-08-10,2021-09-20,2021-11-08,36286.89</t>
  </si>
  <si>
    <t>CLM-10533,2022-07-26,2022-07-30,2023-01-08,40375.57</t>
  </si>
  <si>
    <t>CLM-10682,2022-11-29,2023-01-04,2023-07-17,29950.96</t>
  </si>
  <si>
    <t>CLM-10522,2021-11-26,2022-01-07,2022-06-25,20041.99</t>
  </si>
  <si>
    <t>CLM-10398,2022-12-11,2023-02-27,2024-01-14,66639.79</t>
  </si>
  <si>
    <t>CLM-10395,2021-10-04,2021-12-29,2022-05-02,-10546.04</t>
  </si>
  <si>
    <t>CLM-10142,2021-02-14,2021-04-15,2021-12-14,30500.08</t>
  </si>
  <si>
    <t>CLM-10731,2020-04-05,2020-05-31,2022-04-12,46777.84</t>
  </si>
  <si>
    <t>CLM-10568,2023-03-22,2023-04-04,2023-08-21,84405.26</t>
  </si>
  <si>
    <t>CLM-10413,2022-01-25,2022-02-14,2022-07-24,70328.33</t>
  </si>
  <si>
    <t>CLM-10701,2022-06-23,2022-08-04,2022-11-23,64885.56</t>
  </si>
  <si>
    <t>CLM-10198,2021-04-17,2021-07-06,2021-11-14,69731.65</t>
  </si>
  <si>
    <t>CLM-10247,2023-06-10,2023-09-03,2024-04-20,78919.87</t>
  </si>
  <si>
    <t>CLM-10290,2024-01-22,2024-02-13,2025-01-08,6834.68</t>
  </si>
  <si>
    <t>CLM-10526,2023-03-12,2023-05-29,2023-08-07,65836.78</t>
  </si>
  <si>
    <t>CLM-10525,2020-01-15,2020-02-13,2020-09-27,42358.58</t>
  </si>
  <si>
    <t>CLM-10440,2020-11-24,2021-01-09,2021-06-04,50404.56</t>
  </si>
  <si>
    <t>CLM-10527,2020-04-29,2020-06-28,2021-07-07,-7529.3</t>
  </si>
  <si>
    <t>CLM-10233,2020-07-08,2020-08-20,2021-12-24,51442.43</t>
  </si>
  <si>
    <t>CLM-10558,2021-01-02,2021-03-02,2021-10-11,74938.1</t>
  </si>
  <si>
    <t>CLM-10408,2020-04-25,2020-07-07,2021-09-24,69692.41</t>
  </si>
  <si>
    <t>CLM-10344,2024-03-30,,2024-08-10,42489.04</t>
  </si>
  <si>
    <t>CLM-10365,2021-08-01,2021-08-17,2022-03-17,33141.41</t>
  </si>
  <si>
    <t>CLM-10198,2021-04-17,2021-07-06,2022-11-15,17318.19</t>
  </si>
  <si>
    <t>CLM-10627,2024-08-02,2024-09-09,2024-11-04,32569.92</t>
  </si>
  <si>
    <t>CLM-10712,2021-04-08,2021-04-18,2021-07-15,27995.49</t>
  </si>
  <si>
    <t>CLM-10495,2020-05-14,2020-08-08,2021-12-12,-14998.37</t>
  </si>
  <si>
    <t>CLM-10057,2020-05-31,2020-06-23,2021-01-13,26811.8</t>
  </si>
  <si>
    <t>CLM-10074,2022-05-14,2022-06-22,2022-09-03,58203.95</t>
  </si>
  <si>
    <t>CLM-10773,2021-06-28,2021-09-03,2022-06-04,73191.38</t>
  </si>
  <si>
    <t>CLM-10167,2023-01-05,2023-02-25,2023-04-01,18060.68</t>
  </si>
  <si>
    <t>CLM-10006,2024-06-27,2024-08-13,2025-05-01,42184.78</t>
  </si>
  <si>
    <t>CLM-10452,2024-01-17,2024-03-27,2024-11-23,-7512.46</t>
  </si>
  <si>
    <t>CLM-10009,2022-02-22,2022-03-08,2023-03-27,55382.93</t>
  </si>
  <si>
    <t>CLM-10304,2020-11-07,2020-11-30,2021-09-09,-20938.19</t>
  </si>
  <si>
    <t>CLM-10226,2023-06-04,2023-08-16,2024-02-22,52541.07</t>
  </si>
  <si>
    <t>CLM-10021,2021-03-18,2021-05-16,2022-09-16,35545.87</t>
  </si>
  <si>
    <t>CLM-10688,2020-01-02,2020-02-21,2021-09-02,72725.7</t>
  </si>
  <si>
    <t>CLM-10483,2021-02-16,2021-03-07,2021-10-03,15147.11</t>
  </si>
  <si>
    <t>CLM-10721,2022-05-11,,2023-09-12,-465199.11</t>
  </si>
  <si>
    <t>CLM-10057,2020-05-31,2020-06-23,2021-02-28,72955.93</t>
  </si>
  <si>
    <t>CLM-10128,2022-01-16,2022-01-26,2022-11-12,80710.11</t>
  </si>
  <si>
    <t>CLM-10113,2020-02-04,2020-04-04,2021-02-22,75138.35</t>
  </si>
  <si>
    <t>CLM-10081,2022-03-12,2022-03-30,2022-07-23,66465.21</t>
  </si>
  <si>
    <t>CLM-10124,2023-12-09,2024-01-19,2024-06-11,21561.26</t>
  </si>
  <si>
    <t>CLM-10651,2023-02-21,2023-04-08,2023-09-29,24457.94</t>
  </si>
  <si>
    <t>CLM-10481,2021-01-06,2021-02-20,2021-10-27,2567.26</t>
  </si>
  <si>
    <t>CLM-10295,2020-09-24,2020-10-28,2021-12-20,70426.14</t>
  </si>
  <si>
    <t>CLM-10626,2023-01-05,,2023-07-18,63600.72</t>
  </si>
  <si>
    <t>CLM-10248,2023-10-17,2023-12-17,2024-07-03,77958.22</t>
  </si>
  <si>
    <t>CLM-10506,2022-02-14,2022-03-24,2022-09-25,-21397.44</t>
  </si>
  <si>
    <t>CLM-10337,2023-10-07,2023-12-27,2024-09-05,33202.76</t>
  </si>
  <si>
    <t>CLM-10773,2021-06-28,2021-09-03,2021-12-11,32516.62</t>
  </si>
  <si>
    <t>CLM-10630,2023-01-27,,2023-05-07,-14705.09</t>
  </si>
  <si>
    <t>CLM-10172,2022-02-17,2022-04-25,2022-09-19,36522.54</t>
  </si>
  <si>
    <t>CLM-10075,2021-06-20,2021-09-11,2022-03-21,7092.11</t>
  </si>
  <si>
    <t>CLM-10546,2020-09-10,2020-12-03,2021-12-06,6063.91</t>
  </si>
  <si>
    <t>CLM-10179,2022-05-13,2022-07-28,2023-09-30,11591.56</t>
  </si>
  <si>
    <t>CLM-10131,2024-12-04,,2025-01-18,83892.17</t>
  </si>
  <si>
    <t>CLM-10060,2023-02-13,2023-03-14,2024-03-09,43609.19</t>
  </si>
  <si>
    <t>CLM-10128,2022-01-16,2022-01-26,2022-05-17,20891.31</t>
  </si>
  <si>
    <t>CLM-10461,2023-06-03,2023-06-28,2024-04-20,80502.96</t>
  </si>
  <si>
    <t>CLM-10283,2022-06-16,,2023-10-22,65541.72</t>
  </si>
  <si>
    <t>CLM-10550,2024-03-14,2024-04-23,2025-01-03,36866.02</t>
  </si>
  <si>
    <t>CLM-10026,2022-11-30,2023-01-14,2023-07-29,62305.62</t>
  </si>
  <si>
    <t>CLM-10008,2022-06-09,2022-08-03,2023-02-10,3448.63</t>
  </si>
  <si>
    <t>CLM-10032,2024-04-18,2024-06-02,2024-08-28,6851.3</t>
  </si>
  <si>
    <t>CLM-10104,2022-03-06,2022-04-14,2022-09-10,16705.16</t>
  </si>
  <si>
    <t>CLM-10185,2023-05-04,2023-05-09,2024-03-28,70333.94</t>
  </si>
  <si>
    <t>CLM-10142,2021-02-14,2021-04-15,2022-01-07,15655.59</t>
  </si>
  <si>
    <t>CLM-10024,2020-07-20,2020-10-03,2021-03-16,12874.83</t>
  </si>
  <si>
    <t>CLM-10695,2023-05-05,2023-08-01,2023-08-16,36098.1</t>
  </si>
  <si>
    <t>CLM-10648,2022-06-02,2022-07-31,2023-04-20,54324.7</t>
  </si>
  <si>
    <t>CLM-10688,2020-01-02,2020-02-21,2021-07-16,58076.71</t>
  </si>
  <si>
    <t>CLM-10495,2020-05-14,2020-08-08,2021-07-04,41818.68</t>
  </si>
  <si>
    <t>CLM-10069,2022-06-08,2022-06-14,2022-10-13,46980.15</t>
  </si>
  <si>
    <t>CLM-10619,2022-07-06,2022-07-10,2022-09-29,31589.99</t>
  </si>
  <si>
    <t>CLM-10339,2024-08-14,2024-08-24,2025-05-31,34115.12</t>
  </si>
  <si>
    <t>CLM-10737,2020-02-19,2020-04-14,2020-09-29,81445.55</t>
  </si>
  <si>
    <t>CLM-10572,2022-01-05,2022-02-10,2022-09-05,64862.14</t>
  </si>
  <si>
    <t>CLM-10066,2024-05-14,2024-07-16,2024-10-13,47009.43</t>
  </si>
  <si>
    <t>CLM-10555,2022-12-21,2023-03-18,2023-04-19,53415.4</t>
  </si>
  <si>
    <t>CLM-10184,2020-12-27,2021-01-30,2022-02-04,8620.44</t>
  </si>
  <si>
    <t>CLM-10450,2021-07-26,2021-09-22,2022-06-20,-22699.27</t>
  </si>
  <si>
    <t>CLM-10148,2022-03-26,,2022-09-15,70475.83</t>
  </si>
  <si>
    <t>CLM-10508,2022-06-05,2022-08-05,2022-12-23,64846.14</t>
  </si>
  <si>
    <t>CLM-10646,2021-06-05,2021-08-10,2022-10-17,-11305.31</t>
  </si>
  <si>
    <t>CLM-10675,2023-03-27,2023-04-08,2023-07-27,9354.01</t>
  </si>
  <si>
    <t>CLM-10155,2022-10-26,2022-12-24,2023-02-28,27979.68</t>
  </si>
  <si>
    <t>CLM-10475,2022-10-21,2022-12-25,2023-07-03,44235.46</t>
  </si>
  <si>
    <t>CLM-10097,2021-04-13,2021-06-26,2023-01-03,71206.84</t>
  </si>
  <si>
    <t>CLM-10672,2021-07-09,2021-08-25,2023-01-04,4266.61</t>
  </si>
  <si>
    <t>CLM-10141,2021-04-24,2021-06-10,2021-12-12,72939.42</t>
  </si>
  <si>
    <t>CLM-10775,2022-05-02,2022-07-26,2023-01-15,40098.11</t>
  </si>
  <si>
    <t>CLM-10439,2020-03-02,2020-04-26,2021-01-01,56099.59</t>
  </si>
  <si>
    <t>CLM-10774,2021-09-02,2021-10-07,2022-08-13,33454.83</t>
  </si>
  <si>
    <t>CLM-10476,2023-05-24,2023-07-26,2024-08-03,55067.83</t>
  </si>
  <si>
    <t>CLM-10370,2023-07-19,2023-08-05,2023-09-20,11107.11</t>
  </si>
  <si>
    <t>CLM-10697,2023-11-11,2024-01-28,2025-04-06,24446.81</t>
  </si>
  <si>
    <t>CLM-10553,2022-12-07,2023-02-16,2024-05-31,11878.6</t>
  </si>
  <si>
    <t>CLM-10740,2022-08-24,2022-10-06,2023-11-09,-13359.47</t>
  </si>
  <si>
    <t>CLM-10784,2022-11-25,2022-12-09,2023-07-18,52614.12</t>
  </si>
  <si>
    <t>CLM-10025,2023-04-02,2023-06-03,2023-11-18,55594.06</t>
  </si>
  <si>
    <t>CLM-10305,2023-10-04,2023-11-16,2025-01-18,68084.4</t>
  </si>
  <si>
    <t>CLM-10606,2022-04-02,2022-05-23,2022-10-23,3179.8</t>
  </si>
  <si>
    <t>CLM-10797,2022-07-21,2022-08-09,2022-10-26,56772.18</t>
  </si>
  <si>
    <t>CLM-10726,2021-09-17,2021-11-10,2023-02-25,51890.26</t>
  </si>
  <si>
    <t>CLM-10790,2024-09-23,2024-10-26,2025-04-16,78517.45</t>
  </si>
  <si>
    <t>CLM-10355,2023-03-23,2023-04-15,2024-03-24,40921.23</t>
  </si>
  <si>
    <t>CLM-10701,2022-06-23,2022-08-04,2023-07-27,42853.04</t>
  </si>
  <si>
    <t>CLM-10491,2023-01-22,2023-03-22,2024-05-29,27195.71</t>
  </si>
  <si>
    <t>CLM-10421,2021-02-14,2021-03-17,2021-05-14,78393.3</t>
  </si>
  <si>
    <t>CLM-10067,2021-04-24,2021-05-11,2022-11-02,45580.71</t>
  </si>
  <si>
    <t>CLM-10741,2020-03-12,2020-05-26,2020-12-21,82161.95</t>
  </si>
  <si>
    <t>CLM-10505,2021-11-07,2022-02-01,2022-10-28,-11836.78</t>
  </si>
  <si>
    <t>CLM-10092,2020-06-15,2020-09-08,2021-09-23,66824.14</t>
  </si>
  <si>
    <t>CLM-10505,2021-11-07,2022-02-01,2023-03-26,73000.49</t>
  </si>
  <si>
    <t>CLM-10185,2023-05-04,2023-05-09,2023-07-30,48905.36</t>
  </si>
  <si>
    <t>CLM-10615,2023-03-05,2023-03-13,2023-10-26,12167.08</t>
  </si>
  <si>
    <t>CLM-10737,2020-02-19,2020-04-14,2021-03-28,18863.17</t>
  </si>
  <si>
    <t>CLM-10429,2020-04-12,2020-06-20,2020-12-26,3407.23</t>
  </si>
  <si>
    <t>CLM-10095,2020-09-01,2020-11-10,2021-10-21,-2751.8</t>
  </si>
  <si>
    <t>CLM-10151,2022-07-14,2022-09-25,2023-05-06,59023.52</t>
  </si>
  <si>
    <t>CLM-10379,2020-05-27,2020-08-22,2021-07-22,-17341.92</t>
  </si>
  <si>
    <t>CLM-10142,2021-02-14,2021-04-15,2022-03-14,-23139.36</t>
  </si>
  <si>
    <t>CLM-10415,2021-08-30,2021-11-09,2022-01-18,68268.79</t>
  </si>
  <si>
    <t>CLM-10048,2024-06-03,2024-07-20,2025-02-16,23189.71</t>
  </si>
  <si>
    <t>CLM-10102,2022-07-01,2022-07-05,2022-11-05,75388.02</t>
  </si>
  <si>
    <t>CLM-10768,2023-04-21,2023-06-26,2024-01-19,17846.25</t>
  </si>
  <si>
    <t>CLM-10097,2021-04-13,2021-06-26,2021-12-14,-17928.75</t>
  </si>
  <si>
    <t>CLM-10739,2022-04-28,2022-06-04,2022-08-16,55598.4</t>
  </si>
  <si>
    <t>CLM-10711,2023-08-15,2023-08-27,2023-09-29,26685.59</t>
  </si>
  <si>
    <t>CLM-10243,2024-08-29,2024-09-11,2025-03-19,49172.01</t>
  </si>
  <si>
    <t>CLM-10787,2022-05-27,,2023-02-21,-16871.23</t>
  </si>
  <si>
    <t>CLM-10108,2020-10-11,2020-12-27,2021-09-16,43750.15</t>
  </si>
  <si>
    <t>CLM-10671,2022-12-18,2023-01-16,2023-11-10,3461.93</t>
  </si>
  <si>
    <t>CLM-10301,2023-08-02,2023-09-16,2024-02-17,25392.36</t>
  </si>
  <si>
    <t>CLM-10459,2020-01-06,2020-03-05,2021-11-30,42097.82</t>
  </si>
  <si>
    <t>CLM-10383,2023-06-20,2023-07-10,2023-12-29,-20622.67</t>
  </si>
  <si>
    <t>CLM-10787,2022-05-27,,2022-10-29,18523.74</t>
  </si>
  <si>
    <t>CLM-10442,2024-07-27,2024-09-16,2025-02-08,27546.15</t>
  </si>
  <si>
    <t>CLM-10740,2022-08-24,2022-10-06,2023-05-31,46366.54</t>
  </si>
  <si>
    <t>CLM-10133,2023-07-29,2023-10-10,2025-03-26,74692.85</t>
  </si>
  <si>
    <t>CLM-10184,2020-12-27,2021-01-30,2021-07-30,-1397.65</t>
  </si>
  <si>
    <t>CLM-10390,2024-04-26,2024-05-27,2024-06-24,40411.64</t>
  </si>
  <si>
    <t>CLM-10578,2023-04-08,,2024-01-26,44944.4</t>
  </si>
  <si>
    <t>CLM-10199,2021-11-26,,2023-03-30,11326.82</t>
  </si>
  <si>
    <t>CLM-10684,2022-05-06,2022-06-26,2023-07-07,22917.88</t>
  </si>
  <si>
    <t>CLM-10146,2020-09-10,2020-11-21,2021-09-17,41774.16</t>
  </si>
  <si>
    <t>CLM-10342,2022-09-06,2022-11-15,2023-11-19,7659.89</t>
  </si>
  <si>
    <t>CLM-10750,2023-10-11,2024-01-07,2024-07-13,73404.8</t>
  </si>
  <si>
    <t>CLM-10061,2023-12-09,2024-02-24,2024-07-21,37848.62</t>
  </si>
  <si>
    <t>CLM-10613,2024-06-12,2024-09-05,2024-11-13,24900.06</t>
  </si>
  <si>
    <t>CLM-10310,2020-01-04,2020-02-18,2020-11-14,54705.02</t>
  </si>
  <si>
    <t>CLM-10615,2023-03-05,2023-03-13,2024-02-28,39025.75</t>
  </si>
  <si>
    <t>CLM-10781,2021-12-31,2022-01-08,2022-04-07,21836.13</t>
  </si>
  <si>
    <t>CLM-10209,2024-01-20,2024-01-26,2025-01-27,17023.18</t>
  </si>
  <si>
    <t>CLM-10754,2023-12-13,,2025-01-17,65451.55</t>
  </si>
  <si>
    <t>CLM-10165,2020-11-01,2020-11-23,2021-02-28,69951.7</t>
  </si>
  <si>
    <t>CLM-10651,2023-02-21,2023-04-08,2023-12-20,25942.38</t>
  </si>
  <si>
    <t>CLM-10689,2023-09-07,2023-09-27,2024-02-24,53189.14</t>
  </si>
  <si>
    <t>CLM-10246,2024-07-16,2024-09-10,2025-03-02,61569.64</t>
  </si>
  <si>
    <t>CLM-10777,2022-03-05,2022-03-14,2022-08-05,19565.81</t>
  </si>
  <si>
    <t>CLM-10113,2020-02-04,2020-04-04,2021-08-15,51087.15</t>
  </si>
  <si>
    <t>CLM-10283,2022-06-16,,2023-08-30,9869.34</t>
  </si>
  <si>
    <t>CLM-10730,2020-03-13,2020-03-31,2021-08-03,77062.97</t>
  </si>
  <si>
    <t>CLM-10495,2020-05-14,2020-08-08,2021-07-22,5612.88</t>
  </si>
  <si>
    <t>CLM-10052,2023-10-07,2023-11-20,2024-02-16,30714.76</t>
  </si>
  <si>
    <t>CLM-10483,2021-02-16,2021-03-07,2021-08-06,59460.97</t>
  </si>
  <si>
    <t>CLM-10230,2020-09-27,2020-11-09,2021-11-24,38605.45</t>
  </si>
  <si>
    <t>CLM-10423,2023-03-17,2023-03-28,2024-04-07,69461.73</t>
  </si>
  <si>
    <t>CLM-10326,2021-03-08,2021-05-20,2022-01-21,52623.23</t>
  </si>
  <si>
    <t>CLM-10584,2020-04-23,2020-05-02,2021-05-22,-20816.75</t>
  </si>
  <si>
    <t>CLM-10108,2020-10-11,2020-12-27,2022-03-25,56566.97</t>
  </si>
  <si>
    <t>CLM-10189,2024-06-29,,2025-01-13,-21507.0</t>
  </si>
  <si>
    <t>CLM-10270,2023-06-06,2023-08-19,2024-06-13,7613.83</t>
  </si>
  <si>
    <t>CLM-10248,2023-10-17,2023-12-17,2025-04-28,-18874.04</t>
  </si>
  <si>
    <t>CLM-10600,2022-03-31,2022-06-22,2023-04-16,63019.76</t>
  </si>
  <si>
    <t>CLM-10346,2022-10-15,,2024-01-29,45558.4</t>
  </si>
  <si>
    <t>CLM-10743,2023-05-19,2023-08-15,2024-02-28,-11257.66</t>
  </si>
  <si>
    <t>CLM-10133,2023-07-29,2023-10-10,2025-02-12,67438.19</t>
  </si>
  <si>
    <t>CLM-10552,2023-07-20,2023-10-15,2024-02-20,53420.0</t>
  </si>
  <si>
    <t>CLM-10702,2022-07-14,2022-07-29,2022-11-07,35657.37</t>
  </si>
  <si>
    <t>CLM-10253,2021-09-30,2021-11-04,2022-01-30,-18779.56</t>
  </si>
  <si>
    <t>CLM-10757,2021-02-20,2021-04-25,2021-12-31,37682.43</t>
  </si>
  <si>
    <t>CLM-10545,2022-06-02,2022-07-17,2023-03-12,66047.54</t>
  </si>
  <si>
    <t>CLM-10407,2021-01-21,2021-04-02,2022-04-27,3595.19</t>
  </si>
  <si>
    <t>CLM-10173,2021-10-05,2021-12-04,2022-12-29,39759.46</t>
  </si>
  <si>
    <t>CLM-10096,2022-01-02,2022-01-10,2022-10-15,-24131.02</t>
  </si>
  <si>
    <t>CLM-10466,2021-04-19,2021-05-20,2022-10-13,32997.09</t>
  </si>
  <si>
    <t>CLM-10427,2021-02-16,2021-04-15,2022-04-17,67330.05</t>
  </si>
  <si>
    <t>CLM-10765,2020-06-22,2020-08-05,2020-10-17,36479.77</t>
  </si>
  <si>
    <t>CLM-10730,2020-03-13,2020-03-31,2020-04-26,-5701.58</t>
  </si>
  <si>
    <t>CLM-10377,2020-05-25,2020-07-25,2020-10-21,16869.02</t>
  </si>
  <si>
    <t>CLM-10281,2024-08-06,2024-10-23,2024-11-23,48071.87</t>
  </si>
  <si>
    <t>CLM-10269,2021-06-28,2021-07-14,2021-08-10,11793.92</t>
  </si>
  <si>
    <t>CLM-10378,2023-10-04,2023-10-29,2024-10-26,63832.62</t>
  </si>
  <si>
    <t>CLM-10041,2023-01-01,2023-02-09,2024-01-16,-13532.34</t>
  </si>
  <si>
    <t>CLM-10379,2020-05-27,2020-08-22,2021-03-24,37689.58</t>
  </si>
  <si>
    <t>CLM-10507,2024-04-29,2024-05-01,2025-04-13,79402.35</t>
  </si>
  <si>
    <t>CLM-10091,2022-03-03,2022-05-07,2023-03-06,-9942.12</t>
  </si>
  <si>
    <t>CLM-10069,2022-06-08,2022-06-14,2022-07-16,-15682.4</t>
  </si>
  <si>
    <t>CLM-10535,2024-04-14,2024-06-12,2024-07-23,41665.39</t>
  </si>
  <si>
    <t>CLM-10405,2021-01-28,2021-03-04,2022-11-29,51054.45</t>
  </si>
  <si>
    <t>CLM-10242,2021-10-25,2022-01-17,2022-05-04,-22064.76</t>
  </si>
  <si>
    <t>CLM-10729,2023-05-19,2023-07-10,2023-12-02,19152.11</t>
  </si>
  <si>
    <t>CLM-10517,2020-05-02,2020-06-19,2021-02-26,15348.73</t>
  </si>
  <si>
    <t>CLM-10470,2022-01-27,2022-03-29,2022-01-10,-11624.17</t>
  </si>
  <si>
    <t>CLM-10579,2020-07-05,2020-08-15,2021-02-28,18709.45</t>
  </si>
  <si>
    <t>CLM-10691,2021-02-13,2021-03-26,2021-08-19,22012.84</t>
  </si>
  <si>
    <t>CLM-10502,2021-03-22,2021-05-05,2021-06-20,24581.03</t>
  </si>
  <si>
    <t>CLM-10285,2020-12-02,2021-02-21,2021-05-28,37777.72</t>
  </si>
  <si>
    <t>CLM-10740,2022-08-24,2022-10-06,2023-04-29,3163.53</t>
  </si>
  <si>
    <t>CLM-10489,2021-06-29,2021-07-21,2022-04-25,-4843.65</t>
  </si>
  <si>
    <t>CLM-10169,2021-03-20,2021-04-11,2022-06-15,33591.5</t>
  </si>
  <si>
    <t>CLM-10046,2020-05-07,2020-07-18,2020-08-28,-6682.65</t>
  </si>
  <si>
    <t>CLM-10266,2022-06-30,2022-08-20,2023-02-16,18977.36</t>
  </si>
  <si>
    <t>CLM-10536,2024-09-19,2024-11-22,2025-04-08,36151.49</t>
  </si>
  <si>
    <t>CLM-10547,2020-11-28,2021-02-13,2021-09-03,-11866.45</t>
  </si>
  <si>
    <t>CLM-10449,2021-03-25,2021-05-31,2022-01-08,71375.27</t>
  </si>
  <si>
    <t>CLM-10721,2022-05-11,,2024-05-12,75414.8</t>
  </si>
  <si>
    <t>CLM-10060,2023-02-13,2023-03-14,2023-11-06,58003.17</t>
  </si>
  <si>
    <t>CLM-10726,2021-09-17,2021-11-10,2022-04-25,12200.9</t>
  </si>
  <si>
    <t>CLM-10013,2022-08-29,2022-11-06,2023-11-21,53724.85</t>
  </si>
  <si>
    <t>CLM-10198,2021-04-17,2021-07-06,2021-10-06,51187.48</t>
  </si>
  <si>
    <t>CLM-10106,2021-12-04,2022-01-01,2023-05-09,52672.14</t>
  </si>
  <si>
    <t>CLM-10050,2023-10-05,2023-10-07,2024-09-03,50254.47</t>
  </si>
  <si>
    <t>CLM-10642,2021-04-07,,2021-04-29,42424.24</t>
  </si>
  <si>
    <t>CLM-10771,2022-08-19,2022-09-08,2024-05-19,36462.74</t>
  </si>
  <si>
    <t>CLM-10383,2023-06-20,2023-07-10,2024-06-09,57149.77</t>
  </si>
  <si>
    <t>CLM-10188,2020-04-03,2020-05-28,2020-08-29,35279.07</t>
  </si>
  <si>
    <t>CLM-10109,2020-09-29,2020-10-24,2022-02-14,56604.69</t>
  </si>
  <si>
    <t>CLM-10206,2022-09-16,2022-12-11,2023-04-24,12081.98</t>
  </si>
  <si>
    <t>CLM-10525,2020-01-15,2020-02-13,2020-05-06,44149.2</t>
  </si>
  <si>
    <t>CLM-10722,2021-08-07,2021-09-22,2022-04-20,57420.52</t>
  </si>
  <si>
    <t>CLM-10709,2020-11-01,2021-01-16,2021-02-01,75192.69</t>
  </si>
  <si>
    <t>CLM-10308,2023-06-13,2023-08-18,2024-01-12,32424.43</t>
  </si>
  <si>
    <t>CLM-10764,2022-11-07,2023-02-03,2024-03-27,20379.98</t>
  </si>
  <si>
    <t>CLM-10380,2021-11-25,2022-02-02,2022-08-08,34453.74</t>
  </si>
  <si>
    <t>CLM-10612,2023-03-20,2023-04-13,2023-07-24,14037.94</t>
  </si>
  <si>
    <t>CLM-10401,2022-06-07,2022-08-10,2023-12-13,84039.81</t>
  </si>
  <si>
    <t>CLM-10348,2024-09-14,2024-09-30,2025-04-19,81844.27</t>
  </si>
  <si>
    <t>CLM-10299,2024-06-04,2024-07-08,2025-01-22,-16450.85</t>
  </si>
  <si>
    <t>CLM-10550,2024-03-14,2024-04-23,2024-09-09,24229.09</t>
  </si>
  <si>
    <t>CLM-10524,2021-07-10,2021-08-06,2022-12-09,80310.81</t>
  </si>
  <si>
    <t>CLM-10206,2022-09-16,2022-12-11,2023-10-12,80404.06</t>
  </si>
  <si>
    <t>CLM-10009,2022-02-22,2022-03-08,2023-07-24,-4879.62</t>
  </si>
  <si>
    <t>CLM-10469,2020-08-18,2020-10-31,2021-07-02,36721.96</t>
  </si>
  <si>
    <t>CLM-10263,2022-05-02,2022-05-25,2022-09-04,9287.04</t>
  </si>
  <si>
    <t>CLM-10019,2023-11-17,2023-12-03,2024-03-21,77704.91</t>
  </si>
  <si>
    <t>CLM-10075,2021-06-20,2021-09-11,2022-06-30,28091.77</t>
  </si>
  <si>
    <t>CLM-10196,2022-01-05,2022-02-18,2023-02-19,58296.08</t>
  </si>
  <si>
    <t>CLM-10008,2022-06-09,2022-08-03,2023-07-29,67938.37</t>
  </si>
  <si>
    <t>CLM-10433,2023-02-26,2023-04-18,2023-08-04,41970.35</t>
  </si>
  <si>
    <t>CLM-10576,2022-12-16,2023-02-17,2024-03-11,10329.63</t>
  </si>
  <si>
    <t>CLM-10091,2022-03-03,2022-05-07,2022-07-19,44197.9</t>
  </si>
  <si>
    <t>CLM-10734,2020-05-02,2020-06-10,2021-01-06,35524.54</t>
  </si>
  <si>
    <t>CLM-10370,2023-07-19,2023-08-05,2024-12-02,58119.5</t>
  </si>
  <si>
    <t>CLM-10237,2024-04-20,2024-05-30,2024-12-01,-22498.16</t>
  </si>
  <si>
    <t>CLM-10079,2020-08-20,2020-11-05,2021-07-20,22956.17</t>
  </si>
  <si>
    <t>CLM-10546,2020-09-10,2020-12-03,2021-01-25,31932.72</t>
  </si>
  <si>
    <t>CLM-10374,2022-01-12,2022-02-11,2023-02-27,10343.32</t>
  </si>
  <si>
    <t>CLM-10412,2020-05-22,2020-05-24,2020-08-15,44512.84</t>
  </si>
  <si>
    <t>CLM-10278,2022-12-07,2022-12-16,2023-03-03,52803.5</t>
  </si>
  <si>
    <t>CLM-10563,2023-12-06,2024-02-26,2025-01-28,54455.51</t>
  </si>
  <si>
    <t>CLM-10063,2021-08-14,2021-10-09,2022-02-05,-15779.65</t>
  </si>
  <si>
    <t>CLM-10140,2021-08-19,2021-09-23,2022-06-27,82887.62</t>
  </si>
  <si>
    <t>CLM-10518,2024-07-01,2024-08-11,2025-03-14,3065.83</t>
  </si>
  <si>
    <t>CLM-10654,2021-12-04,2022-01-31,2023-11-10,67352.35</t>
  </si>
  <si>
    <t>CLM-10532,2023-12-24,2024-02-25,2025-05-08,28094.65</t>
  </si>
  <si>
    <t>CLM-10072,2021-07-24,2021-09-24,2022-04-07,-15961.01</t>
  </si>
  <si>
    <t>CLM-10693,2024-03-20,2024-03-24,2024-06-03,-2631.8</t>
  </si>
  <si>
    <t>CLM-10675,2023-03-27,2023-04-08,2023-09-08,10005.91</t>
  </si>
  <si>
    <t>CLM-10001,2020-07-08,2020-09-11,2021-09-03,81199.1</t>
  </si>
  <si>
    <t>CLM-10746,2024-05-04,2024-05-28,2025-05-17,-21584.79</t>
  </si>
  <si>
    <t>CLM-10614,2022-11-17,2023-02-03,2023-06-27,5892.94</t>
  </si>
  <si>
    <t>CLM-10250,2020-01-05,2020-03-11,2020-04-11,24999.88</t>
  </si>
  <si>
    <t>CLM-10129,2020-03-20,2020-04-22,2020-07-01,55838.05</t>
  </si>
  <si>
    <t>CLM-10467,2020-05-09,2020-07-25,2021-05-27,47233.24</t>
  </si>
  <si>
    <t>CLM-10265,2022-10-11,2022-11-08,2023-01-03,83937.11</t>
  </si>
  <si>
    <t>CLM-10005,2021-06-15,2021-07-16,2022-02-23,35151.6</t>
  </si>
  <si>
    <t>CLM-10473,2021-02-10,2021-04-08,2021-08-07,71299.17</t>
  </si>
  <si>
    <t>CLM-10103,2022-07-01,2022-07-12,2022-12-07,71858.51</t>
  </si>
  <si>
    <t>CLM-10729,2023-05-19,2023-07-10,2024-05-05,3270.08</t>
  </si>
  <si>
    <t>CLM-10065,2023-05-05,2023-07-30,2024-01-22,31052.26</t>
  </si>
  <si>
    <t>CLM-10680,2022-12-29,2023-01-30,2023-08-14,13061.65</t>
  </si>
  <si>
    <t>CLM-10010,2022-07-10,2022-09-21,2023-04-20,10179.08</t>
  </si>
  <si>
    <t>CLM-10538,2021-12-30,2022-03-26,2022-07-05,30234.84</t>
  </si>
  <si>
    <t>CLM-10243,2024-08-29,2024-09-11,2025-01-27,57570.11</t>
  </si>
  <si>
    <t>CLM-10731,2020-04-05,2020-05-31,2021-12-07,51658.99</t>
  </si>
  <si>
    <t>CLM-10270,2023-06-06,2023-08-19,2024-02-16,82994.42</t>
  </si>
  <si>
    <t>CLM-10450,2021-07-26,2021-09-22,2022-01-02,15678.91</t>
  </si>
  <si>
    <t>CLM-10242,2021-10-25,2022-01-17,2022-02-14,73189.43</t>
  </si>
  <si>
    <t>CLM-10035,2023-06-12,2023-08-11,2024-05-25,26488.75</t>
  </si>
  <si>
    <t>CLM-10490,2024-09-16,2024-09-23,2025-05-09,33350.01</t>
  </si>
  <si>
    <t>CLM-10031,2020-06-09,2020-08-27,2020-10-29,34390.16</t>
  </si>
  <si>
    <t>CLM-10354,2022-12-21,2022-12-23,2024-07-16,61991.0</t>
  </si>
  <si>
    <t>CLM-10292,2020-04-20,2020-05-25,2021-05-03,60200.17</t>
  </si>
  <si>
    <t>CLM-10188,2020-04-03,2020-05-28,2020-10-05,73268.1</t>
  </si>
  <si>
    <t>CLM-10283,2022-06-16,,2024-03-05,64137.84</t>
  </si>
  <si>
    <t>CLM-10674,2024-02-22,2024-04-09,2024-12-14,74469.25</t>
  </si>
  <si>
    <t>CLM-10164,2023-05-27,2023-06-08,2025-02-02,61015.27</t>
  </si>
  <si>
    <t>CLM-10105,2024-03-28,2024-05-31,2025-02-18,18581.05</t>
  </si>
  <si>
    <t>CLM-10205,2020-05-07,2020-05-31,2022-02-25,52240.63</t>
  </si>
  <si>
    <t>CLM-10745,2020-09-17,2020-11-16,2021-04-07,-1821.21</t>
  </si>
  <si>
    <t>CLM-10136,2024-05-01,2024-06-03,2025-03-20,74692.52</t>
  </si>
  <si>
    <t>CLM-10155,2022-10-26,2022-12-24,2023-07-09,-16303.81</t>
  </si>
  <si>
    <t>CLM-10268,2023-11-02,2023-12-19,2023-09-24,68576.84</t>
  </si>
  <si>
    <t>CLM-10358,2020-05-24,2020-08-17,2022-01-12,57445.34</t>
  </si>
  <si>
    <t>CLM-10755,2020-07-02,,2020-11-03,8495.51</t>
  </si>
  <si>
    <t>CLM-10286,2024-12-13,2025-02-15,2025-05-26,59143.49</t>
  </si>
  <si>
    <t>CLM-10541,2020-09-07,2020-10-31,2021-08-25,14133.0</t>
  </si>
  <si>
    <t>CLM-10051,2021-10-02,2021-12-29,2022-05-20,47577.45</t>
  </si>
  <si>
    <t>CLM-10572,2022-01-05,2022-02-10,2022-03-09,39876.35</t>
  </si>
  <si>
    <t>CLM-10029,2021-03-21,2021-03-31,2021-11-21,46274.97</t>
  </si>
  <si>
    <t>CLM-10145,2020-01-21,2020-03-11,2020-06-19,66823.96</t>
  </si>
  <si>
    <t>CLM-10767,2024-08-28,2024-10-26,2025-03-22,9113.46</t>
  </si>
  <si>
    <t>CLM-10137,2023-01-10,2023-02-11,2024-09-10,61653.53</t>
  </si>
  <si>
    <t>CLM-10490,2024-09-16,2024-09-23,2025-04-01,64298.46</t>
  </si>
  <si>
    <t>CLM-10180,2022-02-23,2022-04-26,2022-12-03,-16500.13</t>
  </si>
  <si>
    <t>CLM-10623,2023-07-24,2023-09-09,2024-07-04,65985.08</t>
  </si>
  <si>
    <t>CLM-10144,2022-04-24,,2022-05-14,23346.19</t>
  </si>
  <si>
    <t>CLM-10194,2024-08-10,2024-08-16,2024-09-16,62405.84</t>
  </si>
  <si>
    <t>CLM-10114,2022-11-15,2023-01-03,2023-04-07,83910.29</t>
  </si>
  <si>
    <t>CLM-10505,2021-11-07,2022-02-01,2022-06-18,-5683.04</t>
  </si>
  <si>
    <t>CLM-10182,2024-04-04,2024-04-15,2025-03-24,11302.05</t>
  </si>
  <si>
    <t>CLM-10028,2020-03-02,2020-05-30,2020-11-27,53558.09</t>
  </si>
  <si>
    <t>CLM-10221,2022-02-14,2022-04-25,2023-01-28,60923.62</t>
  </si>
  <si>
    <t>CLM-10660,2023-06-23,2023-06-29,2023-12-29,4102.38</t>
  </si>
  <si>
    <t>CLM-10523,2021-06-09,2021-08-23,2022-06-01,24203.42</t>
  </si>
  <si>
    <t>CLM-10630,2023-01-27,,2023-07-05,2796.67</t>
  </si>
  <si>
    <t>CLM-10726,2021-09-17,2021-11-10,2023-08-04,19293.2</t>
  </si>
  <si>
    <t>CLM-10138,2023-02-27,2023-05-07,2024-10-15,33760.05</t>
  </si>
  <si>
    <t>CLM-10010,2022-07-10,2022-09-21,2022-12-29,2978.83</t>
  </si>
  <si>
    <t>CLM-10552,2023-07-20,2023-10-15,2024-11-09,70511.6</t>
  </si>
  <si>
    <t>CLM-10359,2023-06-21,2023-09-18,2024-01-04,80081.96</t>
  </si>
  <si>
    <t>CLM-10105,2024-03-28,2024-05-31,2025-04-03,10808.39</t>
  </si>
  <si>
    <t>CLM-10057,2020-05-31,2020-06-23,2020-10-03,35233.94</t>
  </si>
  <si>
    <t>CLM-10479,2023-11-13,2023-11-27,2024-09-23,46445.91</t>
  </si>
  <si>
    <t>CLM-10771,2022-08-19,2022-09-08,2022-10-24,80054.43</t>
  </si>
  <si>
    <t>CLM-10236,2023-10-20,2023-12-17,2024-02-29,37565.34</t>
  </si>
  <si>
    <t>CLM-10026,2022-11-30,2023-01-14,2024-01-21,-12309.27</t>
  </si>
  <si>
    <t>CLM-10634,2020-07-08,2020-08-17,2021-02-18,-24257.72</t>
  </si>
  <si>
    <t>CLM-10770,2023-07-08,2023-08-18,2023-12-03,56897.29</t>
  </si>
  <si>
    <t>CLM-10536,2024-09-19,2024-11-22,2024-12-20,33718.12</t>
  </si>
  <si>
    <t>CLM-10610,2023-10-29,2023-11-12,2024-02-18,59243.31</t>
  </si>
  <si>
    <t>CLM-10733,2021-09-06,2021-10-18,2022-06-11,79871.12</t>
  </si>
  <si>
    <t>CLM-10782,2023-12-30,2024-01-19,2024-10-21,54476.08</t>
  </si>
  <si>
    <t>CLM-10387,2022-08-14,2022-09-25,2023-07-09,65382.5</t>
  </si>
  <si>
    <t>CLM-10313,2024-08-29,2024-10-06,2025-04-28,71122.2</t>
  </si>
  <si>
    <t>CLM-10028,2020-03-02,2020-05-30,2020-07-02,39264.6</t>
  </si>
  <si>
    <t>CLM-10630,2023-01-27,,2023-08-31,29406.88</t>
  </si>
  <si>
    <t>CLM-10354,2022-12-21,2022-12-23,2023-11-26,82295.02</t>
  </si>
  <si>
    <t>CLM-10348,2024-09-14,2024-09-30,2025-02-03,71276.43</t>
  </si>
  <si>
    <t>CLM-10603,2022-01-03,2022-02-24,2023-05-24,-11247.51</t>
  </si>
  <si>
    <t>CLM-10064,2023-04-21,2023-04-22,2023-04-11,48510.43</t>
  </si>
  <si>
    <t>CLM-10697,2023-11-11,2024-01-28,2024-10-25,14996.83</t>
  </si>
  <si>
    <t>CLM-10153,2021-02-21,2021-03-24,2021-11-21,-22834.22</t>
  </si>
  <si>
    <t>CLM-10230,2020-09-27,2020-11-09,2021-03-25,34228.55</t>
  </si>
  <si>
    <t>CLM-10272,2021-01-23,,2021-04-21,59499.29</t>
  </si>
  <si>
    <t>CLM-10780,2022-07-08,2022-08-04,2022-09-21,66925.73</t>
  </si>
  <si>
    <t>CLM-10079,2020-08-20,2020-11-05,2021-05-14,16787.56</t>
  </si>
  <si>
    <t>CLM-10325,2023-06-18,2023-08-06,2023-12-06,24176.39</t>
  </si>
  <si>
    <t>CLM-10379,2020-05-27,2020-08-22,2020-11-30,49093.09</t>
  </si>
  <si>
    <t>CLM-10666,2022-01-27,2022-03-02,2022-07-19,11732.53</t>
  </si>
  <si>
    <t>CLM-10272,2021-01-23,,2021-05-10,28667.52</t>
  </si>
  <si>
    <t>CLM-10532,2023-12-24,2024-02-25,2024-10-26,67385.24</t>
  </si>
  <si>
    <t>CLM-10466,2021-04-19,2021-05-20,2022-02-08,73124.78</t>
  </si>
  <si>
    <t>CLM-10707,2020-02-20,2020-04-20,2021-02-02,44100.02</t>
  </si>
  <si>
    <t>CLM-10451,2022-11-29,2023-01-10,2023-07-23,81110.42</t>
  </si>
  <si>
    <t>CLM-10789,2024-06-14,2024-09-05,2025-01-24,10075.71</t>
  </si>
  <si>
    <t>CLM-10007,2022-12-13,2023-01-27,2023-07-01,6903.94</t>
  </si>
  <si>
    <t>CLM-10786,2023-02-07,2023-04-13,2024-06-03,35073.19</t>
  </si>
  <si>
    <t>CLM-10430,2020-05-28,2020-07-12,2021-06-25,78800.15</t>
  </si>
  <si>
    <t>CLM-10253,2021-09-30,2021-11-04,2022-11-22,29211.03</t>
  </si>
  <si>
    <t>CLM-10246,2024-07-16,2024-09-10,2024-11-15,58881.29</t>
  </si>
  <si>
    <t>CLM-10648,2022-06-02,2022-07-31,2022-12-06,53291.54</t>
  </si>
  <si>
    <t>CLM-10255,2020-09-29,2020-10-29,2021-05-15,59149.56</t>
  </si>
  <si>
    <t>CLM-10332,2023-04-25,2023-06-10,2025-01-02,24138.24</t>
  </si>
  <si>
    <t>CLM-10688,2020-01-02,2020-02-21,2020-08-05,50559.83</t>
  </si>
  <si>
    <t>CLM-10113,2020-02-04,2020-04-04,2021-02-05,38336.66</t>
  </si>
  <si>
    <t>CLM-10533,2022-07-26,2022-07-30,2022-12-18,76360.92</t>
  </si>
  <si>
    <t>CLM-10239,2023-09-22,2023-11-08,2024-06-30,7077.23</t>
  </si>
  <si>
    <t>CLM-10312,2021-07-01,2021-08-18,2022-08-21,11583.8</t>
  </si>
  <si>
    <t>CLM-10140,2021-08-19,2021-09-23,2022-02-07,44404.92</t>
  </si>
  <si>
    <t>CLM-10571,2021-04-23,2021-04-25,2021-08-02,-6577.31</t>
  </si>
  <si>
    <t>CLM-10045,2021-10-18,2021-11-28,2022-03-26,5865.46</t>
  </si>
  <si>
    <t>CLM-10397,2022-01-28,2022-02-23,2022-06-25,4594.5</t>
  </si>
  <si>
    <t>CLM-10553,2022-12-07,2023-02-16,2023-10-26,37833.99</t>
  </si>
  <si>
    <t>CLM-10781,2021-12-31,2022-01-08,2022-08-03,45695.43</t>
  </si>
  <si>
    <t>CLM-10008,2022-06-09,2022-08-03,2023-12-06,72740.39</t>
  </si>
  <si>
    <t>CLM-10475,2022-10-21,2022-12-25,2024-01-11,6779.94</t>
  </si>
  <si>
    <t>CLM-10095,2020-09-01,2020-11-10,2022-02-16,-1722.88</t>
  </si>
  <si>
    <t>CLM-10358,2020-05-24,2020-08-17,2021-07-01,36122.56</t>
  </si>
  <si>
    <t>CLM-10423,2023-03-17,2023-03-28,2023-10-22,73149.71</t>
  </si>
  <si>
    <t>CLM-10457,2023-05-27,2023-08-16,2024-04-17,28340.44</t>
  </si>
  <si>
    <t>CLM-10484,2023-01-23,2023-03-30,2024-03-17,37470.69</t>
  </si>
  <si>
    <t>CLM-10252,2022-08-02,2022-10-01,2023-11-19,27034.91</t>
  </si>
  <si>
    <t>CLM-10379,2020-05-27,2020-08-22,2021-04-12,47990.4</t>
  </si>
  <si>
    <t>CLM-10610,2023-10-29,2023-11-12,2024-04-25,74114.41</t>
  </si>
  <si>
    <t>CLM-10523,2021-06-09,2021-08-23,2021-09-22,56582.41</t>
  </si>
  <si>
    <t>CLM-10017,2022-07-26,,2023-02-23,-21975.35</t>
  </si>
  <si>
    <t>CLM-10472,2023-03-07,2023-05-19,2023-08-11,7595.25</t>
  </si>
  <si>
    <t>CLM-10453,2022-02-14,2022-03-16,2022-08-07,-23060.95</t>
  </si>
  <si>
    <t>CLM-10330,2021-09-09,2021-10-11,2022-01-24,17074.87</t>
  </si>
  <si>
    <t>CLM-10609,2022-01-13,2022-01-28,2022-05-12,-1988.41</t>
  </si>
  <si>
    <t>CLM-10369,2024-08-21,2024-09-14,2025-03-27,79550.12</t>
  </si>
  <si>
    <t>CLM-10002,2024-02-07,2024-02-13,2024-09-21,83780.65</t>
  </si>
  <si>
    <t>CLM-10126,2022-12-11,2023-02-05,2023-07-09,51443.41</t>
  </si>
  <si>
    <t>CLM-10412,2020-05-22,2020-05-24,2020-11-16,8999.3</t>
  </si>
  <si>
    <t>CLM-10019,2023-11-17,2023-12-03,2024-05-12,74687.11</t>
  </si>
  <si>
    <t>CLM-10137,2023-01-10,2023-02-11,2023-11-15,60421.42</t>
  </si>
  <si>
    <t>CLM-10683,2021-08-10,2021-09-20,2022-10-28,13761.23</t>
  </si>
  <si>
    <t>CLM-10327,2024-05-12,,2025-01-14,61427.45</t>
  </si>
  <si>
    <t>CLM-10650,2021-06-25,2021-07-31,2022-02-26,8018.87</t>
  </si>
  <si>
    <t>CLM-10616,2021-02-04,2021-03-08,2021-08-15,13207.97</t>
  </si>
  <si>
    <t>CLM-10331,2020-01-09,2020-01-20,2020-11-04,-8744.89</t>
  </si>
  <si>
    <t>CLM-10411,2020-05-25,,2021-04-10,-21269.49</t>
  </si>
  <si>
    <t>CLM-10466,2021-04-19,2021-05-20,2021-10-23,-17609.4</t>
  </si>
  <si>
    <t>CLM-10459,2020-01-06,2020-03-05,2021-03-20,64640.27</t>
  </si>
  <si>
    <t>CLM-10327,2024-05-12,,2024-05-30,76333.22</t>
  </si>
  <si>
    <t>CLM-10410,2023-09-28,2023-12-10,2024-08-06,76929.55</t>
  </si>
  <si>
    <t>CLM-10132,2020-11-29,2021-02-21,2022-02-13,-10949.7</t>
  </si>
  <si>
    <t>CLM-10540,2022-06-01,2022-08-13,2022-11-09,84229.57</t>
  </si>
  <si>
    <t>CLM-10260,2021-03-10,2021-05-26,2021-11-24,30422.77</t>
  </si>
  <si>
    <t>CLM-10640,2023-11-08,2023-11-09,2024-02-04,21900.03</t>
  </si>
  <si>
    <t>CLM-10477,2023-08-02,2023-08-04,2023-09-06,60137.71</t>
  </si>
  <si>
    <t>CLM-10479,2023-11-13,2023-11-27,2024-04-18,71683.46</t>
  </si>
  <si>
    <t>CLM-10275,2023-10-12,2023-12-31,2024-10-07,56680.19</t>
  </si>
  <si>
    <t>CLM-10610,2023-10-29,2023-11-12,2024-09-20,6844.23</t>
  </si>
  <si>
    <t>CLM-10782,2023-12-30,2024-01-19,2024-03-24,10917.52</t>
  </si>
  <si>
    <t>CLM-10376,2022-02-08,2022-04-30,2022-06-19,14177.48</t>
  </si>
  <si>
    <t>CLM-10302,2024-03-19,2024-04-09,2024-08-04,32567.56</t>
  </si>
  <si>
    <t>CLM-10168,2023-07-28,2023-08-10,2023-12-26,2273.07</t>
  </si>
  <si>
    <t>CLM-10091,2022-03-03,2022-05-07,2022-12-16,25560.16</t>
  </si>
  <si>
    <t>CLM-10771,2022-08-19,2022-09-08,2023-02-24,51795.42</t>
  </si>
  <si>
    <t>CLM-10114,2022-11-15,2023-01-03,2023-12-19,36483.88</t>
  </si>
  <si>
    <t>CLM-10081,2022-03-12,2022-03-30,2022-11-26,46396.3</t>
  </si>
  <si>
    <t>CLM-10780,2022-07-08,2022-08-04,2023-04-08,61615.53</t>
  </si>
  <si>
    <t>CLM-10304,2020-11-07,2020-11-30,2021-06-05,12895.5</t>
  </si>
  <si>
    <t>CLM-10114,2022-11-15,2023-01-03,2023-09-28,4338.48</t>
  </si>
  <si>
    <t>CLM-10552,2023-07-20,2023-10-15,2024-07-03,50445.85</t>
  </si>
  <si>
    <t>CLM-10579,2020-07-05,2020-08-15,2020-12-04,5371.0</t>
  </si>
  <si>
    <t>CLM-10622,2023-03-12,2023-03-27,2024-07-12,12035.91</t>
  </si>
  <si>
    <t>CLM-10301,2023-08-02,2023-09-16,2024-07-21,60834.43</t>
  </si>
  <si>
    <t>CLM-10333,2020-08-21,2020-10-11,2020-12-20,12201.99</t>
  </si>
  <si>
    <t>CLM-10603,2022-01-03,2022-02-24,2022-08-28,60666.13</t>
  </si>
  <si>
    <t>CLM-10668,2020-02-09,2020-02-23,2020-10-28,74825.58</t>
  </si>
  <si>
    <t>CLM-10657,2023-02-24,2023-05-21,2024-05-30,-14047.33</t>
  </si>
  <si>
    <t>CLM-10337,2023-10-07,2023-12-27,2024-04-01,76638.59</t>
  </si>
  <si>
    <t>CLM-10723,2024-02-26,2024-03-30,2025-03-26,-14216.9</t>
  </si>
  <si>
    <t>CLM-10355,2023-03-23,2023-04-15,2023-11-16,20957.37</t>
  </si>
  <si>
    <t>CLM-10058,2021-04-10,2021-04-27,2021-12-06,79602.53</t>
  </si>
  <si>
    <t>CLM-10685,2020-03-16,2020-03-17,2021-08-14,40131.66</t>
  </si>
  <si>
    <t>CLM-10005,2021-06-15,2021-07-16,2021-08-25,38081.86</t>
  </si>
  <si>
    <t>CLM-10275,2023-10-12,2023-12-31,2024-12-21,9015.01</t>
  </si>
  <si>
    <t>CLM-10262,2022-10-24,2022-12-02,2023-06-17,77395.07</t>
  </si>
  <si>
    <t>CLM-10354,2022-12-21,2022-12-23,2024-10-19,6564.81</t>
  </si>
  <si>
    <t>CLM-10227,2023-10-02,,2024-06-21,48863.91</t>
  </si>
  <si>
    <t>CLM-10423,2023-03-17,2023-03-28,2023-05-25,75369.9</t>
  </si>
  <si>
    <t>CLM-10227,2023-10-02,,2024-01-20,40351.35</t>
  </si>
  <si>
    <t>CLM-10289,2021-10-20,2021-12-22,2022-01-18,16970.44</t>
  </si>
  <si>
    <t>CLM-10499,2023-01-08,2023-03-19,2024-03-20,5343.31</t>
  </si>
  <si>
    <t>CLM-10213,2023-06-19,2023-07-13,2024-05-23,22128.45</t>
  </si>
  <si>
    <t>CLM-10054,2021-04-24,2021-05-10,2021-08-10,65856.89</t>
  </si>
  <si>
    <t>CLM-10240,2021-10-03,2021-12-16,2022-03-26,80512.89</t>
  </si>
  <si>
    <t>CLM-10374,2022-01-12,2022-02-11,2022-05-09,23015.34</t>
  </si>
  <si>
    <t>CLM-10371,2020-05-14,2020-06-27,2021-08-01,45292.95</t>
  </si>
  <si>
    <t>CLM-10426,2023-10-14,2023-11-25,2024-08-09,-15224.91</t>
  </si>
  <si>
    <t>CLM-10405,2021-01-28,2021-03-04,2022-03-18,46862.19</t>
  </si>
  <si>
    <t>CLM-10030,2023-06-22,2023-07-19,2024-05-30,15901.44</t>
  </si>
  <si>
    <t>CLM-10228,2020-02-22,2020-03-12,2020-09-04,35573.15</t>
  </si>
  <si>
    <t>CLM-10654,2021-12-04,2022-01-31,2023-02-11,4770.35</t>
  </si>
  <si>
    <t>CLM-10623,2023-07-24,2023-09-09,2023-12-18,19833.73</t>
  </si>
  <si>
    <t>CLM-10541,2020-09-07,2020-10-31,2021-03-18,52322.56</t>
  </si>
  <si>
    <t>CLM-10377,2020-05-25,2020-07-25,2021-04-05,59760.08</t>
  </si>
  <si>
    <t>CLM-10599,2022-04-16,2022-06-04,2022-07-05,48441.14</t>
  </si>
  <si>
    <t>CLM-10583,2022-01-23,2022-04-19,2022-09-21,16816.85</t>
  </si>
  <si>
    <t>CLM-10185,2023-05-04,2023-05-09,2024-10-30,73136.23</t>
  </si>
  <si>
    <t>CLM-10512,2020-04-05,2020-05-13,2020-07-16,25016.41</t>
  </si>
  <si>
    <t>CLM-10082,2023-06-17,2023-08-04,2024-03-09,-12037.14</t>
  </si>
  <si>
    <t>CLM-10487,2021-03-17,2021-05-22,2022-03-25,53005.56</t>
  </si>
  <si>
    <t>CLM-10285,2020-12-02,2021-02-21,2021-05-10,6606.64</t>
  </si>
  <si>
    <t>CLM-10444,2021-02-15,2021-04-08,2022-03-03,3506.31</t>
  </si>
  <si>
    <t>CLM-10365,2021-08-01,2021-08-17,2022-12-23,28943.05</t>
  </si>
  <si>
    <t>CLM-10356,2020-02-16,2020-03-08,2020-10-26,32901.13</t>
  </si>
  <si>
    <t>CLM-10346,2022-10-15,,2023-08-13,81665.27</t>
  </si>
  <si>
    <t>CLM-10473,2021-02-10,2021-04-08,2022-02-28,20548.79</t>
  </si>
  <si>
    <t>CLM-10478,2020-09-23,2020-12-14,2021-02-23,69814.97</t>
  </si>
  <si>
    <t>CLM-10142,2021-02-14,2021-04-15,2021-07-26,59632.88</t>
  </si>
  <si>
    <t>CLM-10552,2023-07-20,2023-10-15,2024-10-19,80226.09</t>
  </si>
  <si>
    <t>CLM-10484,2023-01-23,2023-03-30,2023-10-13,58556.17</t>
  </si>
  <si>
    <t>CLM-10593,2021-03-11,2021-05-26,2021-08-08,34101.74</t>
  </si>
  <si>
    <t>CLM-10486,2022-01-13,2022-02-05,2022-03-07,61154.6</t>
  </si>
  <si>
    <t>CLM-10702,2022-07-14,2022-07-29,2023-01-12,66690.9</t>
  </si>
  <si>
    <t>CLM-10677,2024-05-25,2024-07-30,2025-03-03,53113.67</t>
  </si>
  <si>
    <t>CLM-10342,2022-09-06,2022-11-15,2023-03-23,-11203.82</t>
  </si>
  <si>
    <t>CLM-10668,2020-02-09,2020-02-23,2020-07-04,-5754.22</t>
  </si>
  <si>
    <t>CLM-10276,2022-06-03,2022-08-28,2023-01-24,69216.25</t>
  </si>
  <si>
    <t>CLM-10666,2022-01-27,2022-03-02,2022-12-31,39500.63</t>
  </si>
  <si>
    <t>CLM-10356,2020-02-16,2020-03-08,2020-10-08,55738.95</t>
  </si>
  <si>
    <t>CLM-10457,2023-05-27,2023-08-16,2023-10-23,46082.73</t>
  </si>
  <si>
    <t>CLM-10468,2023-04-09,2023-05-27,2023-09-15,-13613.88</t>
  </si>
  <si>
    <t>CLM-10115,2024-01-09,2024-02-23,2025-03-19,14722.27</t>
  </si>
  <si>
    <t>CLM-10006,2024-06-27,2024-08-13,2024-09-21,33481.2</t>
  </si>
  <si>
    <t>CLM-10265,2022-10-11,2022-11-08,2023-03-14,27386.58</t>
  </si>
  <si>
    <t>CLM-10787,2022-05-27,,2023-07-12,4398.77</t>
  </si>
  <si>
    <t>CLM-10407,2021-01-21,2021-04-02,2021-12-10,42342.0</t>
  </si>
  <si>
    <t>CLM-10120,2024-05-22,2024-05-31,2024-11-01,81353.39</t>
  </si>
  <si>
    <t>CLM-10410,2023-09-28,2023-12-10,2024-06-14,21078.04</t>
  </si>
  <si>
    <t>CLM-10750,2023-10-11,2024-01-07,2024-08-26,8078.47</t>
  </si>
  <si>
    <t>CLM-10311,2020-12-29,2021-01-17,2021-10-02,13363.96</t>
  </si>
  <si>
    <t>CLM-10440,2020-11-24,2021-01-09,2021-08-22,68990.3</t>
  </si>
  <si>
    <t>CLM-10029,2021-03-21,2021-03-31,2022-05-31,37610.56</t>
  </si>
  <si>
    <t>CLM-10297,2024-01-11,2024-02-17,2024-08-09,48518.9</t>
  </si>
  <si>
    <t>CLM-10127,2023-07-03,2023-07-11,2024-10-19,4949.71</t>
  </si>
  <si>
    <t>CLM-10672,2021-07-09,2021-08-25,2022-02-22,32379.4</t>
  </si>
  <si>
    <t>CLM-10783,2023-05-31,2023-07-12,2024-04-30,24796.1</t>
  </si>
  <si>
    <t>CLM-10593,2021-03-11,2021-05-26,2022-01-20,39061.68</t>
  </si>
  <si>
    <t>CLM-10728,2021-10-14,2021-12-24,2022-03-22,26693.26</t>
  </si>
  <si>
    <t>CLM-10534,2021-04-08,2021-04-10,2022-04-20,84139.28</t>
  </si>
  <si>
    <t>CLM-10469,2020-08-18,2020-10-31,2021-04-09,29709.53</t>
  </si>
  <si>
    <t>CLM-10769,2024-02-01,2024-04-02,2024-06-29,54754.05</t>
  </si>
  <si>
    <t>CLM-10583,2022-01-23,2022-04-19,2022-05-24,54733.95</t>
  </si>
  <si>
    <t>CLM-10375,2021-01-24,2021-04-03,2021-05-21,72956.15</t>
  </si>
  <si>
    <t>CLM-10115,2024-01-09,2024-02-23,2024-09-08,11105.92</t>
  </si>
  <si>
    <t>CLM-10646,2021-06-05,2021-08-10,2022-03-26,11518.38</t>
  </si>
  <si>
    <t>CLM-10619,2022-07-06,2022-07-10,2023-04-29,65997.73</t>
  </si>
  <si>
    <t>CLM-10292,2020-04-20,2020-05-25,2022-02-02,-5805.07</t>
  </si>
  <si>
    <t>CLM-10203,2021-06-26,2021-07-27,2022-02-09,16694.01</t>
  </si>
  <si>
    <t>CLM-10169,2021-03-20,2021-04-11,2022-02-16,69897.87</t>
  </si>
  <si>
    <t>CLM-10144,2022-04-24,,2022-10-03,-11467.93</t>
  </si>
  <si>
    <t>CLM-10601,2021-10-19,2021-12-26,2022-09-06,62382.78</t>
  </si>
  <si>
    <t>CLM-10177,2020-02-03,2020-03-24,2021-09-11,-14574.46</t>
  </si>
  <si>
    <t>CLM-10471,2023-07-20,2023-07-24,2024-04-07,63230.99</t>
  </si>
  <si>
    <t>CLM-10358,2020-05-24,2020-08-17,2021-08-25,71147.63</t>
  </si>
  <si>
    <t>CLM-10462,2020-07-23,2020-08-15,2020-10-21,-17586.47</t>
  </si>
  <si>
    <t>CLM-10040,2022-01-05,,2023-04-11,60315.89</t>
  </si>
  <si>
    <t>CLM-10185,2023-05-04,2023-05-09,2024-08-12,74997.29</t>
  </si>
  <si>
    <t>CLM-10752,2021-01-26,2021-03-05,2021-07-01,13005.65</t>
  </si>
  <si>
    <t>CLM-10751,2024-03-24,2024-05-25,2024-11-22,-12587.76</t>
  </si>
  <si>
    <t>CLM-10353,2020-04-10,2020-07-04,2020-10-06,7198.4</t>
  </si>
  <si>
    <t>CLM-10743,2023-05-19,2023-08-15,2024-08-20,63311.6</t>
  </si>
  <si>
    <t>CLM-10189,2024-06-29,,2025-02-18,55024.15</t>
  </si>
  <si>
    <t>CLM-10049,2021-03-15,2021-06-04,2021-07-04,31104.58</t>
  </si>
  <si>
    <t>CLM-10175,2021-11-06,2021-11-19,2022-05-31,49421.15</t>
  </si>
  <si>
    <t>CLM-10408,2020-04-25,2020-07-07,2021-06-01,-20570.26</t>
  </si>
  <si>
    <t>CLM-10151,2022-07-14,2022-09-25,2023-08-26,-6098.94</t>
  </si>
  <si>
    <t>CLM-10241,2021-01-14,2021-04-13,2021-12-13,59423.71</t>
  </si>
  <si>
    <t>CLM-10779,2023-07-09,2023-09-12,2024-01-30,-9411.81</t>
  </si>
  <si>
    <t>CLM-10090,2020-03-13,2020-06-01,2020-11-02,-22172.41</t>
  </si>
  <si>
    <t>CLM-10169,2021-03-20,2021-04-11,2021-08-26,2702328.33</t>
  </si>
  <si>
    <t>CLM-10738,2020-12-21,2021-02-27,2021-04-11,55006.07</t>
  </si>
  <si>
    <t>CLM-10589,2020-01-24,2020-04-20,2020-09-15,6410.71</t>
  </si>
  <si>
    <t>CLM-10201,2024-11-01,2025-01-21,2025-05-17,31502.94</t>
  </si>
  <si>
    <t>CLM-10559,2023-09-22,2023-10-25,2024-02-09,59579.3</t>
  </si>
  <si>
    <t>CLM-10001,2020-07-08,2020-09-11,2021-11-18,64061.13</t>
  </si>
  <si>
    <t>CLM-10489,2021-06-29,2021-07-21,2021-12-22,4616.06</t>
  </si>
  <si>
    <t>CLM-10109,2020-09-29,2020-10-24,2021-09-03,50902.25</t>
  </si>
  <si>
    <t>CLM-10733,2021-09-06,2021-10-18,2022-01-20,48250.2</t>
  </si>
  <si>
    <t>CLM-10387,2022-08-14,2022-09-25,2023-03-23,46263.21</t>
  </si>
  <si>
    <t>CLM-10353,2020-04-10,2020-07-04,2021-05-06,37107.07</t>
  </si>
  <si>
    <t>CLM-10084,2022-06-24,2022-08-20,2022-12-31,15845.77</t>
  </si>
  <si>
    <t>CLM-10730,2020-03-13,2020-03-31,2021-03-17,47193.29</t>
  </si>
  <si>
    <t>CLM-10632,2020-11-27,2021-02-19,2022-07-17,-13288.74</t>
  </si>
  <si>
    <t>CLM-10743,2023-05-19,2023-08-15,2025-01-07,-23496.17</t>
  </si>
  <si>
    <t>CLM-10187,2020-07-28,2020-08-05,2020-12-19,-12173.7</t>
  </si>
  <si>
    <t>CLM-10325,2023-06-18,2023-08-06,2024-05-01,42090.53</t>
  </si>
  <si>
    <t>CLM-10364,2024-06-19,2024-07-06,2024-09-03,-12473.59</t>
  </si>
  <si>
    <t>CLM-10641,2020-01-14,2020-04-05,2020-11-07,57686.34</t>
  </si>
  <si>
    <t>CLM-10247,2023-06-10,2023-09-03,2023-10-25,16929.89</t>
  </si>
  <si>
    <t>CLM-10231,2021-01-02,2021-02-19,2022-02-28,45243.95</t>
  </si>
  <si>
    <t>CLM-10231,2021-01-02,2021-02-19,2021-11-14,-3593.11</t>
  </si>
  <si>
    <t>CLM-10351,2020-01-23,2020-01-25,2020-07-08,20288.24</t>
  </si>
  <si>
    <t>CLM-10216,2020-12-26,2021-01-26,2022-02-10,79985.68</t>
  </si>
  <si>
    <t>CLM-10742,2024-05-23,2024-06-24,2024-12-12,34073.52</t>
  </si>
  <si>
    <t>CLM-10071,2022-07-07,2022-07-11,2022-09-02,-14358.49</t>
  </si>
  <si>
    <t>CLM-10176,2023-10-06,2023-11-14,2024-11-23,22718.4</t>
  </si>
  <si>
    <t>CLM-10495,2020-05-14,2020-08-08,2022-06-07,31233.02</t>
  </si>
  <si>
    <t>CLM-10745,2020-09-17,2020-11-16,2021-04-22,53844.09</t>
  </si>
  <si>
    <t>CLM-10537,2020-09-21,2020-09-23,2021-03-10,8226.04</t>
  </si>
  <si>
    <t>CLM-10009,2022-02-22,2022-03-08,2022-09-13,19601.76</t>
  </si>
  <si>
    <t>CLM-10393,2020-05-19,2020-06-04,2020-12-11,1342831.87</t>
  </si>
  <si>
    <t>CLM-10753,2022-06-29,2022-08-01,2023-07-12,-18212.47</t>
  </si>
  <si>
    <t>CLM-10183,2024-10-14,2024-10-22,2025-04-10,29343.46</t>
  </si>
  <si>
    <t>CLM-10343,2022-03-08,2022-05-10,2023-04-21,39672.26</t>
  </si>
  <si>
    <t>CLM-10732,2024-04-29,2024-05-02,2024-08-26,80389.34</t>
  </si>
  <si>
    <t>CLM-10152,2021-03-28,2021-04-15,2021-10-01,27393.06</t>
  </si>
  <si>
    <t>CLM-10277,2023-05-27,2023-07-24,2023-09-20,61773.29</t>
  </si>
  <si>
    <t>CLM-10733,2021-09-06,2021-10-18,2022-11-13,46551.18</t>
  </si>
  <si>
    <t>CLM-10736,2021-11-10,2022-01-29,2022-05-31,51260.7</t>
  </si>
  <si>
    <t>CLM-10339,2024-08-14,2024-08-24,2024-12-14,69316.77</t>
  </si>
  <si>
    <t>CLM-10716,2021-05-12,2021-08-06,2021-11-22,73924.8</t>
  </si>
  <si>
    <t>CLM-10358,2020-05-24,2020-08-17,2020-04-11,41963.93</t>
  </si>
  <si>
    <t>CLM-10438,2021-10-20,2021-11-28,2022-08-20,31567.95</t>
  </si>
  <si>
    <t>CLM-10587,2020-08-02,,2021-04-24,8098.69</t>
  </si>
  <si>
    <t>CLM-10270,2023-06-06,2023-08-19,2024-10-28,37089.67</t>
  </si>
  <si>
    <t>CLM-10734,2020-05-02,2020-06-10,2020-09-23,45802.84</t>
  </si>
  <si>
    <t>CLM-10576,2022-12-16,2023-02-17,2023-03-06,50796.58</t>
  </si>
  <si>
    <t>CLM-10744,2020-01-22,2020-03-10,2020-08-20,83672.57</t>
  </si>
  <si>
    <t>CLM-10655,2022-01-16,2022-03-18,2022-05-09,-17096.45</t>
  </si>
  <si>
    <t>CLM-10680,2022-12-29,2023-01-30,2023-09-09,41297.78</t>
  </si>
  <si>
    <t>CLM-10692,2021-08-14,2021-11-11,2022-05-07,78584.4</t>
  </si>
  <si>
    <t>CLM-10775,2022-05-02,2022-07-26,2022-12-15,83937.35</t>
  </si>
  <si>
    <t>CLM-10099,2022-04-18,2022-07-05,2023-10-28,-22839.16</t>
  </si>
  <si>
    <t>CLM-10040,2022-01-05,,2022-06-25,46261.71</t>
  </si>
  <si>
    <t>CLM-10219,2024-08-21,2024-10-20,2025-05-13,47571.96</t>
  </si>
  <si>
    <t>CLM-10066,2024-05-14,2024-07-16,2024-11-26,38337.87</t>
  </si>
  <si>
    <t>CLM-10205,2020-05-07,2020-05-31,2022-08-10,50602.97</t>
  </si>
  <si>
    <t>CLM-10429,2020-04-12,2020-06-20,2021-06-16,14840.83</t>
  </si>
  <si>
    <t>CLM-10520,2023-01-27,2023-04-12,2024-01-05,80722.32</t>
  </si>
  <si>
    <t>CLM-10657,2023-02-24,2023-05-21,2024-08-04,54518.35</t>
  </si>
  <si>
    <t>CLM-10078,2023-04-06,2023-05-26,2023-10-11,35225.22</t>
  </si>
  <si>
    <t>CLM-10639,2021-05-03,2021-07-09,2021-09-30,78650.98</t>
  </si>
  <si>
    <t>CLM-10267,2020-04-20,2020-04-21,2020-08-28,-15858.6</t>
  </si>
  <si>
    <t>CLM-10112,2022-08-24,2022-10-23,2024-04-09,77303.69</t>
  </si>
  <si>
    <t>CLM-10092,2020-06-15,2020-09-08,2021-02-15,82665.47</t>
  </si>
  <si>
    <t>CLM-10607,2024-01-21,2024-02-22,2024-07-10,13643.45</t>
  </si>
  <si>
    <t>CLM-10118,2024-12-20,2025-01-20,2025-05-04,47681.92</t>
  </si>
  <si>
    <t>CLM-10210,2021-07-05,2021-08-03,2022-04-20,47872.95</t>
  </si>
  <si>
    <t>CLM-10179,2022-05-13,2022-07-28,2023-02-02,53382.98</t>
  </si>
  <si>
    <t>CLM-10465,2021-08-14,2021-11-02,2023-01-23,52995.25</t>
  </si>
  <si>
    <t>CLM-10515,2023-11-02,2023-12-02,2024-02-01,-4230.82</t>
  </si>
  <si>
    <t>CLM-10124,2023-12-09,2024-01-19,2024-12-24,25198.1</t>
  </si>
  <si>
    <t>CLM-10544,2024-07-25,2024-09-14,2025-04-08,-19266.72</t>
  </si>
  <si>
    <t>CLM-10308,2023-06-13,2023-08-18,2024-04-22,19723.4</t>
  </si>
  <si>
    <t>CLM-10078,2023-04-06,2023-05-26,2024-10-31,54045.89</t>
  </si>
  <si>
    <t>CLM-10391,2024-09-06,2024-09-10,2025-04-02,65165.32</t>
  </si>
  <si>
    <t>CLM-10102,2022-07-01,2022-07-05,2022-09-14,-10464.8</t>
  </si>
  <si>
    <t>CLM-10549,2020-05-22,2020-06-14,2020-10-19,67431.84</t>
  </si>
  <si>
    <t>CLM-10708,2021-11-16,2021-12-23,2022-05-21,67379.22</t>
  </si>
  <si>
    <t>CLM-10332,2023-04-25,2023-06-10,2024-12-16,83276.14</t>
  </si>
  <si>
    <t>CLM-10617,2020-07-28,2020-08-07,2021-09-10,42682.78</t>
  </si>
  <si>
    <t>CLM-10419,2024-09-26,2024-12-07,2025-05-22,14480.53</t>
  </si>
  <si>
    <t>CLM-10217,2024-11-24,2024-12-10,2025-05-23,36873.82</t>
  </si>
  <si>
    <t>CLM-10682,2022-11-29,2023-01-04,2024-02-25,81151.53</t>
  </si>
  <si>
    <t>CLM-10795,2020-01-24,2020-03-06,2020-08-09,40305.29</t>
  </si>
  <si>
    <t>CLM-10214,2020-08-21,2020-10-01,2021-01-26,74649.41</t>
  </si>
  <si>
    <t>CLM-10056,2020-11-30,2021-01-08,2021-08-16,44137.54</t>
  </si>
  <si>
    <t>CLM-10489,2021-06-29,2021-07-21,2023-01-05,45111.42</t>
  </si>
  <si>
    <t>CLM-10276,2022-06-03,2022-08-28,2023-03-12,54571.57</t>
  </si>
  <si>
    <t>CLM-10248,2023-10-17,2023-12-17,2024-11-05,-17119.03</t>
  </si>
  <si>
    <t>CLM-10120,2024-05-22,2024-05-31,2024-07-24,78289.72</t>
  </si>
  <si>
    <t>ClaimID</t>
  </si>
  <si>
    <t>AccidentDate</t>
  </si>
  <si>
    <t>ReportDate</t>
  </si>
  <si>
    <t>TransactionDate</t>
  </si>
  <si>
    <t>TransactionAmount</t>
  </si>
  <si>
    <t>CLM-10729</t>
  </si>
  <si>
    <t>CLM-10334</t>
  </si>
  <si>
    <t>CLM-10128</t>
  </si>
  <si>
    <t>CLM-10162</t>
  </si>
  <si>
    <t>CLM-10692</t>
  </si>
  <si>
    <t>CLM-10028</t>
  </si>
  <si>
    <t>CLM-10700</t>
  </si>
  <si>
    <t>CLM-10029</t>
  </si>
  <si>
    <t>CLM-10040</t>
  </si>
  <si>
    <t>CLM-10622</t>
  </si>
  <si>
    <t>CLM-10616</t>
  </si>
  <si>
    <t>CLM-10663</t>
  </si>
  <si>
    <t>CLM-10232</t>
  </si>
  <si>
    <t>CLM-10555</t>
  </si>
  <si>
    <t>CLM-10482</t>
  </si>
  <si>
    <t>CLM-10280</t>
  </si>
  <si>
    <t>CLM-10685</t>
  </si>
  <si>
    <t>CLM-10015</t>
  </si>
  <si>
    <t>CLM-10145</t>
  </si>
  <si>
    <t>CLM-10138</t>
  </si>
  <si>
    <t>CLM-10076</t>
  </si>
  <si>
    <t>CLM-10608</t>
  </si>
  <si>
    <t>CLM-10656</t>
  </si>
  <si>
    <t>CLM-10366</t>
  </si>
  <si>
    <t>CLM-10680</t>
  </si>
  <si>
    <t>CLM-10673</t>
  </si>
  <si>
    <t>CLM-10158</t>
  </si>
  <si>
    <t>CLM-10219</t>
  </si>
  <si>
    <t>CLM-10321</t>
  </si>
  <si>
    <t>CLM-10393</t>
  </si>
  <si>
    <t>CLM-10092</t>
  </si>
  <si>
    <t>CLM-10088</t>
  </si>
  <si>
    <t>CLM-10372</t>
  </si>
  <si>
    <t>CLM-10150</t>
  </si>
  <si>
    <t>CLM-10011</t>
  </si>
  <si>
    <t>CLM-10177</t>
  </si>
  <si>
    <t>CLM-10342</t>
  </si>
  <si>
    <t>CLM-10458</t>
  </si>
  <si>
    <t>CLM-10493</t>
  </si>
  <si>
    <t>CLM-10601</t>
  </si>
  <si>
    <t>CLM-10098</t>
  </si>
  <si>
    <t>CLM-10484</t>
  </si>
  <si>
    <t>CLM-10309</t>
  </si>
  <si>
    <t>CLM-10129</t>
  </si>
  <si>
    <t>CLM-10341</t>
  </si>
  <si>
    <t>CLM-10631</t>
  </si>
  <si>
    <t>CLM-10449</t>
  </si>
  <si>
    <t>CLM-10355</t>
  </si>
  <si>
    <t>CLM-10235</t>
  </si>
  <si>
    <t>CLM-10113</t>
  </si>
  <si>
    <t>CLM-10223</t>
  </si>
  <si>
    <t>CLM-10408</t>
  </si>
  <si>
    <t>CLM-10171</t>
  </si>
  <si>
    <t>CLM-10239</t>
  </si>
  <si>
    <t>CLM-10326</t>
  </si>
  <si>
    <t>CLM-10003</t>
  </si>
  <si>
    <t>CLM-10699</t>
  </si>
  <si>
    <t>CLM-10172</t>
  </si>
  <si>
    <t>CLM-10407</t>
  </si>
  <si>
    <t>CLM-10733</t>
  </si>
  <si>
    <t>CLM-10691</t>
  </si>
  <si>
    <t>CLM-10198</t>
  </si>
  <si>
    <t>CLM-10033</t>
  </si>
  <si>
    <t>CLM-10359</t>
  </si>
  <si>
    <t>CLM-10579</t>
  </si>
  <si>
    <t>CLM-10690</t>
  </si>
  <si>
    <t>CLM-10119</t>
  </si>
  <si>
    <t>CLM-10562</t>
  </si>
  <si>
    <t>CLM-10592</t>
  </si>
  <si>
    <t>CLM-10736</t>
  </si>
  <si>
    <t>CLM-10641</t>
  </si>
  <si>
    <t>CLM-10063</t>
  </si>
  <si>
    <t>CLM-10233</t>
  </si>
  <si>
    <t>CLM-10007</t>
  </si>
  <si>
    <t>CLM-10080</t>
  </si>
  <si>
    <t>CLM-10210</t>
  </si>
  <si>
    <t>CLM-10430</t>
  </si>
  <si>
    <t>CLM-10184</t>
  </si>
  <si>
    <t>CLM-10288</t>
  </si>
  <si>
    <t>CLM-10034</t>
  </si>
  <si>
    <t>CLM-10197</t>
  </si>
  <si>
    <t>CLM-10267</t>
  </si>
  <si>
    <t>CLM-10747</t>
  </si>
  <si>
    <t>CLM-10385</t>
  </si>
  <si>
    <t>CLM-10617</t>
  </si>
  <si>
    <t>CLM-10374</t>
  </si>
  <si>
    <t>CLM-10547</t>
  </si>
  <si>
    <t>CLM-10383</t>
  </si>
  <si>
    <t>CLM-10174</t>
  </si>
  <si>
    <t>CLM-10426</t>
  </si>
  <si>
    <t>CLM-10597</t>
  </si>
  <si>
    <t>CLM-10410</t>
  </si>
  <si>
    <t>CLM-10427</t>
  </si>
  <si>
    <t>CLM-10147</t>
  </si>
  <si>
    <t>CLM-10795</t>
  </si>
  <si>
    <t>CLM-10279</t>
  </si>
  <si>
    <t>CLM-10732</t>
  </si>
  <si>
    <t>CLM-10678</t>
  </si>
  <si>
    <t>CLM-10191</t>
  </si>
  <si>
    <t>CLM-10179</t>
  </si>
  <si>
    <t>CLM-10595</t>
  </si>
  <si>
    <t>CLM-10220</t>
  </si>
  <si>
    <t>CLM-10224</t>
  </si>
  <si>
    <t>CLM-10704</t>
  </si>
  <si>
    <t>CLM-10175</t>
  </si>
  <si>
    <t>CLM-10664</t>
  </si>
  <si>
    <t>CLM-10295</t>
  </si>
  <si>
    <t>CLM-10481</t>
  </si>
  <si>
    <t>CLM-10712</t>
  </si>
  <si>
    <t>CLM-10046</t>
  </si>
  <si>
    <t>CLM-10721</t>
  </si>
  <si>
    <t>CLM-10527</t>
  </si>
  <si>
    <t>CLM-10637</t>
  </si>
  <si>
    <t>CLM-10042</t>
  </si>
  <si>
    <t>CLM-10671</t>
  </si>
  <si>
    <t>CLM-10231</t>
  </si>
  <si>
    <t>CLM-10384</t>
  </si>
  <si>
    <t>CLM-10396</t>
  </si>
  <si>
    <t>CLM-10139</t>
  </si>
  <si>
    <t>CLM-10651</t>
  </si>
  <si>
    <t>CLM-10646</t>
  </si>
  <si>
    <t>CLM-10735</t>
  </si>
  <si>
    <t>CLM-10110</t>
  </si>
  <si>
    <t>CLM-10771</t>
  </si>
  <si>
    <t>CLM-10434</t>
  </si>
  <si>
    <t>CLM-10143</t>
  </si>
  <si>
    <t>CLM-10695</t>
  </si>
  <si>
    <t>CLM-10688</t>
  </si>
  <si>
    <t>CLM-10176</t>
  </si>
  <si>
    <t>CLM-10228</t>
  </si>
  <si>
    <t>CLM-10276</t>
  </si>
  <si>
    <t>CLM-10442</t>
  </si>
  <si>
    <t>CLM-10772</t>
  </si>
  <si>
    <t>CLM-10572</t>
  </si>
  <si>
    <t>CLM-10543</t>
  </si>
  <si>
    <t>CLM-10258</t>
  </si>
  <si>
    <t>CLM-10707</t>
  </si>
  <si>
    <t>CLM-10620</t>
  </si>
  <si>
    <t>CLM-10710</t>
  </si>
  <si>
    <t>CLM-10524</t>
  </si>
  <si>
    <t>CLM-10744</t>
  </si>
  <si>
    <t>CLM-10683</t>
  </si>
  <si>
    <t>CLM-10621</t>
  </si>
  <si>
    <t>CLM-10435</t>
  </si>
  <si>
    <t>CLM-10530</t>
  </si>
  <si>
    <t>CLM-10127</t>
  </si>
  <si>
    <t>CLM-10292</t>
  </si>
  <si>
    <t>CLM-10215</t>
  </si>
  <si>
    <t>CLM-10020</t>
  </si>
  <si>
    <t>CLM-10111</t>
  </si>
  <si>
    <t>CLM-10746</t>
  </si>
  <si>
    <t>CLM-10743</t>
  </si>
  <si>
    <t>CLM-10328</t>
  </si>
  <si>
    <t>CLM-10237</t>
  </si>
  <si>
    <t>CLM-10693</t>
  </si>
  <si>
    <t>CLM-10636</t>
  </si>
  <si>
    <t>CLM-10347</t>
  </si>
  <si>
    <t>CLM-10711</t>
  </si>
  <si>
    <t>CLM-10413</t>
  </si>
  <si>
    <t>CLM-10069</t>
  </si>
  <si>
    <t>CLM-10325</t>
  </si>
  <si>
    <t>CLM-10152</t>
  </si>
  <si>
    <t>CLM-10041</t>
  </si>
  <si>
    <t>CLM-10151</t>
  </si>
  <si>
    <t>CLM-10502</t>
  </si>
  <si>
    <t>CLM-10783</t>
  </si>
  <si>
    <t>CLM-10758</t>
  </si>
  <si>
    <t>CLM-10604</t>
  </si>
  <si>
    <t>CLM-10354</t>
  </si>
  <si>
    <t>CLM-10248</t>
  </si>
  <si>
    <t>CLM-10252</t>
  </si>
  <si>
    <t>CLM-10136</t>
  </si>
  <si>
    <t>CLM-10644</t>
  </si>
  <si>
    <t>CLM-10273</t>
  </si>
  <si>
    <t>CLM-10023</t>
  </si>
  <si>
    <t>CLM-10411</t>
  </si>
  <si>
    <t>CLM-10480</t>
  </si>
  <si>
    <t>CLM-10106</t>
  </si>
  <si>
    <t>CLM-10499</t>
  </si>
  <si>
    <t>CLM-10194</t>
  </si>
  <si>
    <t>CLM-10320</t>
  </si>
  <si>
    <t>CLM-10436</t>
  </si>
  <si>
    <t>CLM-10317</t>
  </si>
  <si>
    <t>CLM-10409</t>
  </si>
  <si>
    <t>CLM-10456</t>
  </si>
  <si>
    <t>CLM-10083</t>
  </si>
  <si>
    <t>CLM-10352</t>
  </si>
  <si>
    <t>CLM-10221</t>
  </si>
  <si>
    <t>CLM-10338</t>
  </si>
  <si>
    <t>CLM-10270</t>
  </si>
  <si>
    <t>CLM-10125</t>
  </si>
  <si>
    <t>CLM-10200</t>
  </si>
  <si>
    <t>CLM-10578</t>
  </si>
  <si>
    <t>CLM-10674</t>
  </si>
  <si>
    <t>CLM-10030</t>
  </si>
  <si>
    <t>CLM-10004</t>
  </si>
  <si>
    <t>CLM-10574</t>
  </si>
  <si>
    <t>CLM-10415</t>
  </si>
  <si>
    <t>CLM-10421</t>
  </si>
  <si>
    <t>CLM-10133</t>
  </si>
  <si>
    <t>CLM-10375</t>
  </si>
  <si>
    <t>CLM-10786</t>
  </si>
  <si>
    <t>CLM-10199</t>
  </si>
  <si>
    <t>CLM-10577</t>
  </si>
  <si>
    <t>CLM-10647</t>
  </si>
  <si>
    <t>CLM-10703</t>
  </si>
  <si>
    <t>CLM-10234</t>
  </si>
  <si>
    <t>CLM-10702</t>
  </si>
  <si>
    <t>CLM-10445</t>
  </si>
  <si>
    <t>CLM-10478</t>
  </si>
  <si>
    <t>CLM-10193</t>
  </si>
  <si>
    <t>CLM-10168</t>
  </si>
  <si>
    <t>CLM-10227</t>
  </si>
  <si>
    <t>CLM-10114</t>
  </si>
  <si>
    <t>CLM-10487</t>
  </si>
  <si>
    <t>CLM-10018</t>
  </si>
  <si>
    <t>CLM-10086</t>
  </si>
  <si>
    <t>CLM-10017</t>
  </si>
  <si>
    <t>CLM-10528</t>
  </si>
  <si>
    <t>CLM-10584</t>
  </si>
  <si>
    <t>CLM-10096</t>
  </si>
  <si>
    <t>CLM-10463</t>
  </si>
  <si>
    <t>CLM-10202</t>
  </si>
  <si>
    <t>CLM-10163</t>
  </si>
  <si>
    <t>CLM-10489</t>
  </si>
  <si>
    <t>CLM-10132</t>
  </si>
  <si>
    <t>CLM-10253</t>
  </si>
  <si>
    <t>CLM-10757</t>
  </si>
  <si>
    <t>CLM-10741</t>
  </si>
  <si>
    <t>CLM-10638</t>
  </si>
  <si>
    <t>CLM-10553</t>
  </si>
  <si>
    <t>CLM-10212</t>
  </si>
  <si>
    <t>CLM-10097</t>
  </si>
  <si>
    <t>CLM-10510</t>
  </si>
  <si>
    <t>CLM-10037</t>
  </si>
  <si>
    <t>CLM-10254</t>
  </si>
  <si>
    <t>CLM-10336</t>
  </si>
  <si>
    <t>CLM-10788</t>
  </si>
  <si>
    <t>CLM-10503</t>
  </si>
  <si>
    <t>CLM-10661</t>
  </si>
  <si>
    <t>CLM-10002</t>
  </si>
  <si>
    <t>CLM-10362</t>
  </si>
  <si>
    <t>CLM-10748</t>
  </si>
  <si>
    <t>CLM-10509</t>
  </si>
  <si>
    <t>CLM-10587</t>
  </si>
  <si>
    <t>CLM-10470</t>
  </si>
  <si>
    <t>CLM-10589</t>
  </si>
  <si>
    <t>CLM-10186</t>
  </si>
  <si>
    <t>CLM-10437</t>
  </si>
  <si>
    <t>CLM-10021</t>
  </si>
  <si>
    <t>CLM-10564</t>
  </si>
  <si>
    <t>CLM-10652</t>
  </si>
  <si>
    <t>CLM-10523</t>
  </si>
  <si>
    <t>CLM-10166</t>
  </si>
  <si>
    <t>CLM-10370</t>
  </si>
  <si>
    <t>CLM-10400</t>
  </si>
  <si>
    <t>CLM-10108</t>
  </si>
  <si>
    <t>CLM-10058</t>
  </si>
  <si>
    <t>CLM-10632</t>
  </si>
  <si>
    <t>CLM-10734</t>
  </si>
  <si>
    <t>CLM-10211</t>
  </si>
  <si>
    <t>CLM-10055</t>
  </si>
  <si>
    <t>CLM-10205</t>
  </si>
  <si>
    <t>CLM-10043</t>
  </si>
  <si>
    <t>CLM-10285</t>
  </si>
  <si>
    <t>CLM-10310</t>
  </si>
  <si>
    <t>CLM-10760</t>
  </si>
  <si>
    <t>CLM-10749</t>
  </si>
  <si>
    <t>CLM-10274</t>
  </si>
  <si>
    <t>CLM-10713</t>
  </si>
  <si>
    <t>CLM-10580</t>
  </si>
  <si>
    <t>CLM-10731</t>
  </si>
  <si>
    <t>CLM-10137</t>
  </si>
  <si>
    <t>CLM-10153</t>
  </si>
  <si>
    <t>CLM-10206</t>
  </si>
  <si>
    <t>CLM-10238</t>
  </si>
  <si>
    <t>CLM-10314</t>
  </si>
  <si>
    <t>CLM-10558</t>
  </si>
  <si>
    <t>CLM-10738</t>
  </si>
  <si>
    <t>CLM-10662</t>
  </si>
  <si>
    <t>CLM-10659</t>
  </si>
  <si>
    <t>CLM-10521</t>
  </si>
  <si>
    <t>CLM-10180</t>
  </si>
  <si>
    <t>CLM-10051</t>
  </si>
  <si>
    <t>CLM-10560</t>
  </si>
  <si>
    <t>CLM-10756</t>
  </si>
  <si>
    <t>CLM-10448</t>
  </si>
  <si>
    <t>CLM-10123</t>
  </si>
  <si>
    <t>CLM-10535</t>
  </si>
  <si>
    <t>CLM-10705</t>
  </si>
  <si>
    <t>CLM-10492</t>
  </si>
  <si>
    <t>CLM-10187</t>
  </si>
  <si>
    <t>CLM-10332</t>
  </si>
  <si>
    <t>CLM-10399</t>
  </si>
  <si>
    <t>CLM-10473</t>
  </si>
  <si>
    <t>CLM-10157</t>
  </si>
  <si>
    <t>CLM-10675</t>
  </si>
  <si>
    <t>CLM-10296</t>
  </si>
  <si>
    <t>CLM-10447</t>
  </si>
  <si>
    <t>CLM-10107</t>
  </si>
  <si>
    <t>CLM-10275</t>
  </si>
  <si>
    <t>CLM-10140</t>
  </si>
  <si>
    <t>CLM-10406</t>
  </si>
  <si>
    <t>CLM-10418</t>
  </si>
  <si>
    <t>CLM-10590</t>
  </si>
  <si>
    <t>CLM-10103</t>
  </si>
  <si>
    <t>CLM-10536</t>
  </si>
  <si>
    <t>CLM-10345</t>
  </si>
  <si>
    <t>CLM-10761</t>
  </si>
  <si>
    <t>CLM-10255</t>
  </si>
  <si>
    <t>CLM-10708</t>
  </si>
  <si>
    <t>CLM-10545</t>
  </si>
  <si>
    <t>CLM-10764</t>
  </si>
  <si>
    <t>CLM-10626</t>
  </si>
  <si>
    <t>CLM-10723</t>
  </si>
  <si>
    <t>CLM-10686</t>
  </si>
  <si>
    <t>CLM-10241</t>
  </si>
  <si>
    <t>CLM-10726</t>
  </si>
  <si>
    <t>CLM-10515</t>
  </si>
  <si>
    <t>CLM-10323</t>
  </si>
  <si>
    <t>CLM-10036</t>
  </si>
  <si>
    <t>CLM-10507</t>
  </si>
  <si>
    <t>CLM-10208</t>
  </si>
  <si>
    <t>CLM-10762</t>
  </si>
  <si>
    <t>CLM-10068</t>
  </si>
  <si>
    <t>CLM-10548</t>
  </si>
  <si>
    <t>CLM-10322</t>
  </si>
  <si>
    <t>CLM-10388</t>
  </si>
  <si>
    <t>CLM-10095</t>
  </si>
  <si>
    <t>CLM-10451</t>
  </si>
  <si>
    <t>CLM-10289</t>
  </si>
  <si>
    <t>CLM-10090</t>
  </si>
  <si>
    <t>CLM-10386</t>
  </si>
  <si>
    <t>CLM-10514</t>
  </si>
  <si>
    <t>CLM-10109</t>
  </si>
  <si>
    <t>CLM-10059</t>
  </si>
  <si>
    <t>CLM-10035</t>
  </si>
  <si>
    <t>CLM-10134</t>
  </si>
  <si>
    <t>CLM-10740</t>
  </si>
  <si>
    <t>CLM-10619</t>
  </si>
  <si>
    <t>CLM-10331</t>
  </si>
  <si>
    <t>CLM-10299</t>
  </si>
  <si>
    <t>CLM-10025</t>
  </si>
  <si>
    <t>CLM-10782</t>
  </si>
  <si>
    <t>CLM-10190</t>
  </si>
  <si>
    <t>CLM-10148</t>
  </si>
  <si>
    <t>CLM-10496</t>
  </si>
  <si>
    <t>CLM-10606</t>
  </si>
  <si>
    <t>CLM-10122</t>
  </si>
  <si>
    <t>CLM-10468</t>
  </si>
  <si>
    <t>CLM-10290</t>
  </si>
  <si>
    <t>CLM-10165</t>
  </si>
  <si>
    <t>CLM-10799</t>
  </si>
  <si>
    <t>CLM-10687</t>
  </si>
  <si>
    <t>CLM-10263</t>
  </si>
  <si>
    <t>CLM-10684</t>
  </si>
  <si>
    <t>CLM-10188</t>
  </si>
  <si>
    <t>CLM-10615</t>
  </si>
  <si>
    <t>CLM-10598</t>
  </si>
  <si>
    <t>CLM-10009</t>
  </si>
  <si>
    <t>CLM-10121</t>
  </si>
  <si>
    <t>CLM-10539</t>
  </si>
  <si>
    <t>CLM-10327</t>
  </si>
  <si>
    <t>CLM-10416</t>
  </si>
  <si>
    <t>CLM-10568</t>
  </si>
  <si>
    <t>CLM-10774</t>
  </si>
  <si>
    <t>CLM-10618</t>
  </si>
  <si>
    <t>CLM-10379</t>
  </si>
  <si>
    <t>CLM-10566</t>
  </si>
  <si>
    <t>CLM-10424</t>
  </si>
  <si>
    <t>CLM-10630</t>
  </si>
  <si>
    <t>CLM-10781</t>
  </si>
  <si>
    <t>CLM-10520</t>
  </si>
  <si>
    <t>CLM-10261</t>
  </si>
  <si>
    <t>CLM-10585</t>
  </si>
  <si>
    <t>CLM-10160</t>
  </si>
  <si>
    <t>CLM-10343</t>
  </si>
  <si>
    <t>CLM-10715</t>
  </si>
  <si>
    <t>CLM-10057</t>
  </si>
  <si>
    <t>CLM-10266</t>
  </si>
  <si>
    <t>CLM-10038</t>
  </si>
  <si>
    <t>CLM-10519</t>
  </si>
  <si>
    <t>CLM-10251</t>
  </si>
  <si>
    <t>CLM-10727</t>
  </si>
  <si>
    <t>CLM-10525</t>
  </si>
  <si>
    <t>CLM-10488</t>
  </si>
  <si>
    <t>CLM-10060</t>
  </si>
  <si>
    <t>CLM-10753</t>
  </si>
  <si>
    <t>CLM-10368</t>
  </si>
  <si>
    <t>CLM-10318</t>
  </si>
  <si>
    <t>CLM-10709</t>
  </si>
  <si>
    <t>CLM-10455</t>
  </si>
  <si>
    <t>CLM-10085</t>
  </si>
  <si>
    <t>CLM-10745</t>
  </si>
  <si>
    <t>CLM-10635</t>
  </si>
  <si>
    <t>CLM-10724</t>
  </si>
  <si>
    <t>CLM-10282</t>
  </si>
  <si>
    <t>CLM-10156</t>
  </si>
  <si>
    <t>CLM-10767</t>
  </si>
  <si>
    <t>CLM-10794</t>
  </si>
  <si>
    <t>CLM-10784</t>
  </si>
  <si>
    <t>CLM-10349</t>
  </si>
  <si>
    <t>CLM-10031</t>
  </si>
  <si>
    <t>CLM-10563</t>
  </si>
  <si>
    <t>CLM-10100</t>
  </si>
  <si>
    <t>CLM-10718</t>
  </si>
  <si>
    <t>CLM-10610</t>
  </si>
  <si>
    <t>CLM-10316</t>
  </si>
  <si>
    <t>CLM-10737</t>
  </si>
  <si>
    <t>CLM-10047</t>
  </si>
  <si>
    <t>CLM-10303</t>
  </si>
  <si>
    <t>CLM-10112</t>
  </si>
  <si>
    <t>CLM-10405</t>
  </si>
  <si>
    <t>CLM-10790</t>
  </si>
  <si>
    <t>CLM-10307</t>
  </si>
  <si>
    <t>CLM-10308</t>
  </si>
  <si>
    <t>CLM-10225</t>
  </si>
  <si>
    <t>CLM-10677</t>
  </si>
  <si>
    <t>CLM-10570</t>
  </si>
  <si>
    <t>CLM-10472</t>
  </si>
  <si>
    <t>CLM-10694</t>
  </si>
  <si>
    <t>CLM-10596</t>
  </si>
  <si>
    <t>CLM-10173</t>
  </si>
  <si>
    <t>CLM-10417</t>
  </si>
  <si>
    <t>CLM-10719</t>
  </si>
  <si>
    <t>CLM-10264</t>
  </si>
  <si>
    <t>CLM-10444</t>
  </si>
  <si>
    <t>CLM-10397</t>
  </si>
  <si>
    <t>CLM-10475</t>
  </si>
  <si>
    <t>CLM-10062</t>
  </si>
  <si>
    <t>CLM-10364</t>
  </si>
  <si>
    <t>CLM-10213</t>
  </si>
  <si>
    <t>CLM-10229</t>
  </si>
  <si>
    <t>CLM-10196</t>
  </si>
  <si>
    <t>CLM-10293</t>
  </si>
  <si>
    <t>CLM-10181</t>
  </si>
  <si>
    <t>CLM-10358</t>
  </si>
  <si>
    <t>CLM-10216</t>
  </si>
  <si>
    <t>CLM-10531</t>
  </si>
  <si>
    <t>CLM-10357</t>
  </si>
  <si>
    <t>CLM-10082</t>
  </si>
  <si>
    <t>CLM-10045</t>
  </si>
  <si>
    <t>CLM-10714</t>
  </si>
  <si>
    <t>CLM-10008</t>
  </si>
  <si>
    <t>CLM-10013</t>
  </si>
  <si>
    <t>CLM-10465</t>
  </si>
  <si>
    <t>CLM-10207</t>
  </si>
  <si>
    <t>CLM-10696</t>
  </si>
  <si>
    <t>CLM-10785</t>
  </si>
  <si>
    <t>CLM-10240</t>
  </si>
  <si>
    <t>CLM-10650</t>
  </si>
  <si>
    <t>CLM-10474</t>
  </si>
  <si>
    <t>CLM-10005</t>
  </si>
  <si>
    <t>CLM-10278</t>
  </si>
  <si>
    <t>CLM-10039</t>
  </si>
  <si>
    <t>CLM-10796</t>
  </si>
  <si>
    <t>CLM-10534</t>
  </si>
  <si>
    <t>CLM-10287</t>
  </si>
  <si>
    <t>CLM-10067</t>
  </si>
  <si>
    <t>CLM-10759</t>
  </si>
  <si>
    <t>CLM-10446</t>
  </si>
  <si>
    <t>CLM-10084</t>
  </si>
  <si>
    <t>CLM-10569</t>
  </si>
  <si>
    <t>CLM-10019</t>
  </si>
  <si>
    <t>CLM-10244</t>
  </si>
  <si>
    <t>CLM-10776</t>
  </si>
  <si>
    <t>CLM-10053</t>
  </si>
  <si>
    <t>CLM-10283</t>
  </si>
  <si>
    <t>CLM-10429</t>
  </si>
  <si>
    <t>CLM-10195</t>
  </si>
  <si>
    <t>CLM-10291</t>
  </si>
  <si>
    <t>CLM-10793</t>
  </si>
  <si>
    <t>CLM-10457</t>
  </si>
  <si>
    <t>CLM-10178</t>
  </si>
  <si>
    <t>CLM-10800</t>
  </si>
  <si>
    <t>CLM-10575</t>
  </si>
  <si>
    <t>CLM-10209</t>
  </si>
  <si>
    <t>CLM-10603</t>
  </si>
  <si>
    <t>CLM-10768</t>
  </si>
  <si>
    <t>CLM-10222</t>
  </si>
  <si>
    <t>CLM-10657</t>
  </si>
  <si>
    <t>CLM-10044</t>
  </si>
  <si>
    <t>CLM-10065</t>
  </si>
  <si>
    <t>CLM-10306</t>
  </si>
  <si>
    <t>CLM-10624</t>
  </si>
  <si>
    <t>CLM-10116</t>
  </si>
  <si>
    <t>CLM-10551</t>
  </si>
  <si>
    <t>CLM-10582</t>
  </si>
  <si>
    <t>CLM-10149</t>
  </si>
  <si>
    <t>CLM-10629</t>
  </si>
  <si>
    <t>CLM-10642</t>
  </si>
  <si>
    <t>CLM-10392</t>
  </si>
  <si>
    <t>CLM-10773</t>
  </si>
  <si>
    <t>CLM-10653</t>
  </si>
  <si>
    <t>CLM-10554</t>
  </si>
  <si>
    <t>CLM-10256</t>
  </si>
  <si>
    <t>CLM-10335</t>
  </si>
  <si>
    <t>CLM-10050</t>
  </si>
  <si>
    <t>CLM-10365</t>
  </si>
  <si>
    <t>CLM-10297</t>
  </si>
  <si>
    <t>CLM-10070</t>
  </si>
  <si>
    <t>CLM-10546</t>
  </si>
  <si>
    <t>CLM-10532</t>
  </si>
  <si>
    <t>CLM-10118</t>
  </si>
  <si>
    <t>CLM-10594</t>
  </si>
  <si>
    <t>CLM-10450</t>
  </si>
  <si>
    <t>CLM-10452</t>
  </si>
  <si>
    <t>CLM-10706</t>
  </si>
  <si>
    <t>CLM-10022</t>
  </si>
  <si>
    <t>CLM-10094</t>
  </si>
  <si>
    <t>CLM-10130</t>
  </si>
  <si>
    <t>CLM-10593</t>
  </si>
  <si>
    <t>CLM-10672</t>
  </si>
  <si>
    <t>CLM-10698</t>
  </si>
  <si>
    <t>CLM-10054</t>
  </si>
  <si>
    <t>CLM-10204</t>
  </si>
  <si>
    <t>CLM-10146</t>
  </si>
  <si>
    <t>CLM-10164</t>
  </si>
  <si>
    <t>CLM-10073</t>
  </si>
  <si>
    <t>CLM-10089</t>
  </si>
  <si>
    <t>CLM-10271</t>
  </si>
  <si>
    <t>CLM-10361</t>
  </si>
  <si>
    <t>CLM-10422</t>
  </si>
  <si>
    <t>CLM-10305</t>
  </si>
  <si>
    <t>CLM-10453</t>
  </si>
  <si>
    <t>CLM-10226</t>
  </si>
  <si>
    <t>CLM-10665</t>
  </si>
  <si>
    <t>CLM-10461</t>
  </si>
  <si>
    <t>CLM-10542</t>
  </si>
  <si>
    <t>CLM-10770</t>
  </si>
  <si>
    <t>CLM-10613</t>
  </si>
  <si>
    <t>CLM-10281</t>
  </si>
  <si>
    <t>CLM-10074</t>
  </si>
  <si>
    <t>CLM-10027</t>
  </si>
  <si>
    <t>CLM-10319</t>
  </si>
  <si>
    <t>CLM-10739</t>
  </si>
  <si>
    <t>CLM-10313</t>
  </si>
  <si>
    <t>CLM-10576</t>
  </si>
  <si>
    <t>CLM-10538</t>
  </si>
  <si>
    <t>CLM-10346</t>
  </si>
  <si>
    <t>CLM-10371</t>
  </si>
  <si>
    <t>CLM-10466</t>
  </si>
  <si>
    <t>CLM-10454</t>
  </si>
  <si>
    <t>CLM-10639</t>
  </si>
  <si>
    <t>CLM-10670</t>
  </si>
  <si>
    <t>CLM-10640</t>
  </si>
  <si>
    <t>CLM-10491</t>
  </si>
  <si>
    <t>CLM-10441</t>
  </si>
  <si>
    <t>CLM-10330</t>
  </si>
  <si>
    <t>CLM-10218</t>
  </si>
  <si>
    <t>CLM-10230</t>
  </si>
  <si>
    <t>CLM-10443</t>
  </si>
  <si>
    <t>CLM-10500</t>
  </si>
  <si>
    <t>CLM-10778</t>
  </si>
  <si>
    <t>CLM-10763</t>
  </si>
  <si>
    <t>CLM-10483</t>
  </si>
  <si>
    <t>CLM-10353</t>
  </si>
  <si>
    <t>CLM-10294</t>
  </si>
  <si>
    <t>CLM-10459</t>
  </si>
  <si>
    <t>CLM-10312</t>
  </si>
  <si>
    <t>CLM-10717</t>
  </si>
  <si>
    <t>CLM-10676</t>
  </si>
  <si>
    <t>CLM-10501</t>
  </si>
  <si>
    <t>CLM-10789</t>
  </si>
  <si>
    <t>CLM-10380</t>
  </si>
  <si>
    <t>CLM-10550</t>
  </si>
  <si>
    <t>CLM-10099</t>
  </si>
  <si>
    <t>CLM-10633</t>
  </si>
  <si>
    <t>CLM-10462</t>
  </si>
  <si>
    <t>CLM-10581</t>
  </si>
  <si>
    <t>CLM-10403</t>
  </si>
  <si>
    <t>CLM-10682</t>
  </si>
  <si>
    <t>CLM-10185</t>
  </si>
  <si>
    <t>CLM-10544</t>
  </si>
  <si>
    <t>CLM-10120</t>
  </si>
  <si>
    <t>CLM-10329</t>
  </si>
  <si>
    <t>CLM-10024</t>
  </si>
  <si>
    <t>CLM-10517</t>
  </si>
  <si>
    <t>CLM-10439</t>
  </si>
  <si>
    <t>CLM-10431</t>
  </si>
  <si>
    <t>CLM-10679</t>
  </si>
  <si>
    <t>CLM-10668</t>
  </si>
  <si>
    <t>CLM-10460</t>
  </si>
  <si>
    <t>CLM-10260</t>
  </si>
  <si>
    <t>CLM-10391</t>
  </si>
  <si>
    <t>CLM-10401</t>
  </si>
  <si>
    <t>CLM-10428</t>
  </si>
  <si>
    <t>CLM-10654</t>
  </si>
  <si>
    <t>CLM-10159</t>
  </si>
  <si>
    <t>CLM-10754</t>
  </si>
  <si>
    <t>CLM-10798</t>
  </si>
  <si>
    <t>CLM-10105</t>
  </si>
  <si>
    <t>CLM-10389</t>
  </si>
  <si>
    <t>CLM-10438</t>
  </si>
  <si>
    <t>CLM-10006</t>
  </si>
  <si>
    <t>CLM-10381</t>
  </si>
  <si>
    <t>CLM-10268</t>
  </si>
  <si>
    <t>CLM-10351</t>
  </si>
  <si>
    <t>CLM-10012</t>
  </si>
  <si>
    <t>CLM-10658</t>
  </si>
  <si>
    <t>CLM-10398</t>
  </si>
  <si>
    <t>CLM-10669</t>
  </si>
  <si>
    <t>CLM-10072</t>
  </si>
  <si>
    <t>CLM-10751</t>
  </si>
  <si>
    <t>CLM-10394</t>
  </si>
  <si>
    <t>CLM-10791</t>
  </si>
  <si>
    <t>CLM-10078</t>
  </si>
  <si>
    <t>CLM-10257</t>
  </si>
  <si>
    <t>CLM-10779</t>
  </si>
  <si>
    <t>CLM-10697</t>
  </si>
  <si>
    <t>CLM-10725</t>
  </si>
  <si>
    <t>CLM-10649</t>
  </si>
  <si>
    <t>CLM-10766</t>
  </si>
  <si>
    <t>CLM-10476</t>
  </si>
  <si>
    <t>CLM-10722</t>
  </si>
  <si>
    <t>CLM-10298</t>
  </si>
  <si>
    <t>CLM-10356</t>
  </si>
  <si>
    <t>CLM-10497</t>
  </si>
  <si>
    <t>CLM-10557</t>
  </si>
  <si>
    <t>CLM-10247</t>
  </si>
  <si>
    <t>CLM-10016</t>
  </si>
  <si>
    <t>CLM-10311</t>
  </si>
  <si>
    <t>CLM-10056</t>
  </si>
  <si>
    <t>CLM-10588</t>
  </si>
  <si>
    <t>CLM-10518</t>
  </si>
  <si>
    <t>CLM-10378</t>
  </si>
  <si>
    <t>CLM-10284</t>
  </si>
  <si>
    <t>CLM-10363</t>
  </si>
  <si>
    <t>CLM-10586</t>
  </si>
  <si>
    <t>CLM-10048</t>
  </si>
  <si>
    <t>CLM-10001</t>
  </si>
  <si>
    <t>CLM-10101</t>
  </si>
  <si>
    <t>CLM-10752</t>
  </si>
  <si>
    <t>CLM-10425</t>
  </si>
  <si>
    <t>CLM-10513</t>
  </si>
  <si>
    <t>CLM-10333</t>
  </si>
  <si>
    <t>CLM-10720</t>
  </si>
  <si>
    <t>CLM-10432</t>
  </si>
  <si>
    <t>CLM-10262</t>
  </si>
  <si>
    <t>CLM-10077</t>
  </si>
  <si>
    <t>CLM-10600</t>
  </si>
  <si>
    <t>CLM-10730</t>
  </si>
  <si>
    <t>CLM-10014</t>
  </si>
  <si>
    <t>CLM-10301</t>
  </si>
  <si>
    <t>CLM-10494</t>
  </si>
  <si>
    <t>CLM-10508</t>
  </si>
  <si>
    <t>CLM-10087</t>
  </si>
  <si>
    <t>CLM-10414</t>
  </si>
  <si>
    <t>CLM-10081</t>
  </si>
  <si>
    <t>CLM-10201</t>
  </si>
  <si>
    <t>CLM-10648</t>
  </si>
  <si>
    <t>CLM-10628</t>
  </si>
  <si>
    <t>CLM-10093</t>
  </si>
  <si>
    <t>CLM-10091</t>
  </si>
  <si>
    <t>CLM-10183</t>
  </si>
  <si>
    <t>CLM-10340</t>
  </si>
  <si>
    <t>CLM-10506</t>
  </si>
  <si>
    <t>CLM-10300</t>
  </si>
  <si>
    <t>CLM-10787</t>
  </si>
  <si>
    <t>CLM-10504</t>
  </si>
  <si>
    <t>CLM-10259</t>
  </si>
  <si>
    <t>CLM-10556</t>
  </si>
  <si>
    <t>CLM-10350</t>
  </si>
  <si>
    <t>CLM-10315</t>
  </si>
  <si>
    <t>CLM-10387</t>
  </si>
  <si>
    <t>CLM-10182</t>
  </si>
  <si>
    <t>CLM-10611</t>
  </si>
  <si>
    <t>CLM-10495</t>
  </si>
  <si>
    <t>CLM-10666</t>
  </si>
  <si>
    <t>CLM-10404</t>
  </si>
  <si>
    <t>CLM-10214</t>
  </si>
  <si>
    <t>CLM-10797</t>
  </si>
  <si>
    <t>CLM-10533</t>
  </si>
  <si>
    <t>CLM-10245</t>
  </si>
  <si>
    <t>CLM-10304</t>
  </si>
  <si>
    <t>CLM-10505</t>
  </si>
  <si>
    <t>CLM-10049</t>
  </si>
  <si>
    <t>CLM-10124</t>
  </si>
  <si>
    <t>CLM-10433</t>
  </si>
  <si>
    <t>CLM-10701</t>
  </si>
  <si>
    <t>CLM-10161</t>
  </si>
  <si>
    <t>CLM-10117</t>
  </si>
  <si>
    <t>CLM-10373</t>
  </si>
  <si>
    <t>CLM-10464</t>
  </si>
  <si>
    <t>CLM-10377</t>
  </si>
  <si>
    <t>CLM-10728</t>
  </si>
  <si>
    <t>CLM-10529</t>
  </si>
  <si>
    <t>CLM-10390</t>
  </si>
  <si>
    <t>CLM-10367</t>
  </si>
  <si>
    <t>CLM-10402</t>
  </si>
  <si>
    <t>CLM-10471</t>
  </si>
  <si>
    <t>CLM-10605</t>
  </si>
  <si>
    <t>CLM-10467</t>
  </si>
  <si>
    <t>CLM-10170</t>
  </si>
  <si>
    <t>CLM-10667</t>
  </si>
  <si>
    <t>CLM-10498</t>
  </si>
  <si>
    <t>CLM-10075</t>
  </si>
  <si>
    <t>CLM-10602</t>
  </si>
  <si>
    <t>CLM-10469</t>
  </si>
  <si>
    <t>CLM-10561</t>
  </si>
  <si>
    <t>CLM-10516</t>
  </si>
  <si>
    <t>CLM-10135</t>
  </si>
  <si>
    <t>CLM-10522</t>
  </si>
  <si>
    <t>CLM-10395</t>
  </si>
  <si>
    <t>CLM-10142</t>
  </si>
  <si>
    <t>CLM-10526</t>
  </si>
  <si>
    <t>CLM-10440</t>
  </si>
  <si>
    <t>CLM-10344</t>
  </si>
  <si>
    <t>CLM-10627</t>
  </si>
  <si>
    <t>CLM-10167</t>
  </si>
  <si>
    <t>CLM-10337</t>
  </si>
  <si>
    <t>CLM-10131</t>
  </si>
  <si>
    <t>CLM-10026</t>
  </si>
  <si>
    <t>CLM-10032</t>
  </si>
  <si>
    <t>CLM-10104</t>
  </si>
  <si>
    <t>CLM-10339</t>
  </si>
  <si>
    <t>CLM-10066</t>
  </si>
  <si>
    <t>CLM-10155</t>
  </si>
  <si>
    <t>CLM-10141</t>
  </si>
  <si>
    <t>CLM-10775</t>
  </si>
  <si>
    <t>CLM-10102</t>
  </si>
  <si>
    <t>CLM-10243</t>
  </si>
  <si>
    <t>CLM-10750</t>
  </si>
  <si>
    <t>CLM-10061</t>
  </si>
  <si>
    <t>CLM-10689</t>
  </si>
  <si>
    <t>CLM-10246</t>
  </si>
  <si>
    <t>CLM-10777</t>
  </si>
  <si>
    <t>CLM-10052</t>
  </si>
  <si>
    <t>CLM-10423</t>
  </si>
  <si>
    <t>CLM-10189</t>
  </si>
  <si>
    <t>CLM-10552</t>
  </si>
  <si>
    <t>CLM-10765</t>
  </si>
  <si>
    <t>CLM-10269</t>
  </si>
  <si>
    <t>CLM-10242</t>
  </si>
  <si>
    <t>CLM-10169</t>
  </si>
  <si>
    <t>CLM-10612</t>
  </si>
  <si>
    <t>CLM-10348</t>
  </si>
  <si>
    <t>CLM-10079</t>
  </si>
  <si>
    <t>CLM-10412</t>
  </si>
  <si>
    <t>CLM-10614</t>
  </si>
  <si>
    <t>CLM-10250</t>
  </si>
  <si>
    <t>CLM-10265</t>
  </si>
  <si>
    <t>CLM-10010</t>
  </si>
  <si>
    <t>CLM-10490</t>
  </si>
  <si>
    <t>CLM-10755</t>
  </si>
  <si>
    <t>CLM-10286</t>
  </si>
  <si>
    <t>CLM-10541</t>
  </si>
  <si>
    <t>CLM-10623</t>
  </si>
  <si>
    <t>CLM-10144</t>
  </si>
  <si>
    <t>CLM-10660</t>
  </si>
  <si>
    <t>CLM-10479</t>
  </si>
  <si>
    <t>CLM-10236</t>
  </si>
  <si>
    <t>CLM-10634</t>
  </si>
  <si>
    <t>CLM-10064</t>
  </si>
  <si>
    <t>CLM-10272</t>
  </si>
  <si>
    <t>CLM-10780</t>
  </si>
  <si>
    <t>CLM-10571</t>
  </si>
  <si>
    <t>CLM-10609</t>
  </si>
  <si>
    <t>CLM-10369</t>
  </si>
  <si>
    <t>CLM-10126</t>
  </si>
  <si>
    <t>CLM-10540</t>
  </si>
  <si>
    <t>CLM-10477</t>
  </si>
  <si>
    <t>CLM-10376</t>
  </si>
  <si>
    <t>CLM-10302</t>
  </si>
  <si>
    <t>CLM-10599</t>
  </si>
  <si>
    <t>CLM-10583</t>
  </si>
  <si>
    <t>CLM-10512</t>
  </si>
  <si>
    <t>CLM-10486</t>
  </si>
  <si>
    <t>CLM-10115</t>
  </si>
  <si>
    <t>CLM-10769</t>
  </si>
  <si>
    <t>CLM-10203</t>
  </si>
  <si>
    <t>CLM-10559</t>
  </si>
  <si>
    <t>CLM-10742</t>
  </si>
  <si>
    <t>CLM-10071</t>
  </si>
  <si>
    <t>CLM-10537</t>
  </si>
  <si>
    <t>CLM-10277</t>
  </si>
  <si>
    <t>CLM-10716</t>
  </si>
  <si>
    <t>CLM-10655</t>
  </si>
  <si>
    <t>CLM-10607</t>
  </si>
  <si>
    <t>CLM-10549</t>
  </si>
  <si>
    <t>CLM-10419</t>
  </si>
  <si>
    <t>CLM-10217</t>
  </si>
  <si>
    <t>Accident Year</t>
  </si>
  <si>
    <t>Transaction Year</t>
  </si>
  <si>
    <t>Development Year</t>
  </si>
  <si>
    <t>Chain Ladder Method</t>
  </si>
  <si>
    <t xml:space="preserve">Development Factors </t>
  </si>
  <si>
    <t>Year 2</t>
  </si>
  <si>
    <t>Year 3</t>
  </si>
  <si>
    <t>Development year</t>
  </si>
  <si>
    <t>Accident year</t>
  </si>
  <si>
    <t>IBNR Reserves Calculation</t>
  </si>
  <si>
    <t>Incremental Claims Table</t>
  </si>
  <si>
    <t>ACTUARIAL ANALYSIS</t>
  </si>
  <si>
    <t>Pivot Table from Clean Data</t>
  </si>
  <si>
    <t>COMMENTS</t>
  </si>
  <si>
    <t>Table</t>
  </si>
  <si>
    <t>Development Years</t>
  </si>
  <si>
    <t>Accident Years</t>
  </si>
  <si>
    <t>Total</t>
  </si>
  <si>
    <t>Cumulative Claims Table</t>
  </si>
  <si>
    <t>COMMENTS ON DATA ISSUES</t>
  </si>
  <si>
    <t>Fix cell sizes to prevent information in columns from overlapping.</t>
  </si>
  <si>
    <t>There are some cases in the data where the Development Year is negative.</t>
  </si>
  <si>
    <t>accidents and when the claim was paid.</t>
  </si>
  <si>
    <t xml:space="preserve">The future cumulative claims are calculated by multiplying the Development </t>
  </si>
  <si>
    <t xml:space="preserve">The Development year represents the years between the occurance of </t>
  </si>
  <si>
    <t xml:space="preserve">IBNR Reserves are calculated as the difference between cumulative claims </t>
  </si>
  <si>
    <t xml:space="preserve">paid in Development Year 3 and the sum over all accident years for which a </t>
  </si>
  <si>
    <t>projection has been made.</t>
  </si>
  <si>
    <t>All negative development years have been grouped under Development Year Zero to avoid losing claims data.</t>
  </si>
  <si>
    <t>The Pivot Table was constructed using the Clean Data.</t>
  </si>
  <si>
    <t>The Accident Year is the year in which the accident happened.</t>
  </si>
  <si>
    <t>The Incremental Claims Table on the left was obtained from  the Pivot Table.</t>
  </si>
  <si>
    <t xml:space="preserve">The development factors are calculated as the total of the next Development </t>
  </si>
  <si>
    <t>Year divided by the total of the previous Development Year.</t>
  </si>
  <si>
    <t>relating to the 2020 Accident Year are expected to occur.</t>
  </si>
  <si>
    <t>All the information in the Raw Data was in 1 column.</t>
  </si>
  <si>
    <t>The following steps were taken to separate it into 4 columns:</t>
  </si>
  <si>
    <t>Ctrl Space to select column A of Raw Data.</t>
  </si>
  <si>
    <t>Alt A E to choose comma(,) as the delimiter.</t>
  </si>
  <si>
    <t>3 more columns were added to the Clean Data.</t>
  </si>
  <si>
    <t>1) Accident Year- This year was taken from the AccidentDate column.</t>
  </si>
  <si>
    <t>2) Transaction Year- This year was taken from the TransactionDate column.</t>
  </si>
  <si>
    <t xml:space="preserve">3) Development Year- This calculates the number of years between the Accident Year and the Transaction Year </t>
  </si>
  <si>
    <t>This can be caused by errors in Data Capturing or information recorded before the accident year was confirmed.</t>
  </si>
  <si>
    <t>The Total row and column were removed as they are not needed in the calculation.</t>
  </si>
  <si>
    <t xml:space="preserve">The Cumulative Claims Table shows the accumulation of the Paid Claims </t>
  </si>
  <si>
    <t>Amount across the development years.</t>
  </si>
  <si>
    <t xml:space="preserve">No projection has been made for Accident Year 2020 because it is not possible </t>
  </si>
  <si>
    <t>Factor with the most recent cumulative claims paid data in each Accident Year.</t>
  </si>
  <si>
    <t xml:space="preserve">to project beyond the highest Development Year. Hence no further transactions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</si>
</sst>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rgb="FF008000"/>
      <name val="Aptos Narrow"/>
      <family val="2"/>
      <scheme val="minor"/>
    </font>
    <font>
      <b/>
      <sz val="18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5" xfId="0" applyFont="1" applyBorder="1"/>
    <xf numFmtId="0" fontId="0" fillId="0" borderId="19" xfId="0" applyBorder="1"/>
    <xf numFmtId="0" fontId="0" fillId="0" borderId="12" xfId="0" applyBorder="1"/>
    <xf numFmtId="0" fontId="0" fillId="0" borderId="15" xfId="0" applyBorder="1"/>
    <xf numFmtId="0" fontId="1" fillId="10" borderId="11" xfId="19" applyBorder="1"/>
    <xf numFmtId="0" fontId="22" fillId="0" borderId="0" xfId="16" applyFont="1"/>
    <xf numFmtId="0" fontId="23" fillId="0" borderId="0" xfId="1" applyFont="1"/>
    <xf numFmtId="0" fontId="25" fillId="0" borderId="0" xfId="1" applyFont="1"/>
    <xf numFmtId="0" fontId="24" fillId="0" borderId="0" xfId="1" applyFont="1"/>
    <xf numFmtId="0" fontId="16" fillId="0" borderId="12" xfId="0" applyFont="1" applyBorder="1"/>
    <xf numFmtId="0" fontId="16" fillId="0" borderId="20" xfId="0" applyFont="1" applyBorder="1"/>
    <xf numFmtId="0" fontId="1" fillId="10" borderId="14" xfId="19" applyBorder="1"/>
    <xf numFmtId="0" fontId="1" fillId="10" borderId="10" xfId="19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edy Kadere" refreshedDate="45937.638071643516" createdVersion="8" refreshedVersion="8" minRefreshableVersion="3" recordCount="2135" xr:uid="{AC09FE34-137C-472F-B3A4-BCB2F334F902}">
  <cacheSource type="worksheet">
    <worksheetSource ref="A1:H2136" sheet="Clean Data"/>
  </cacheSource>
  <cacheFields count="10">
    <cacheField name="ClaimID" numFmtId="0">
      <sharedItems/>
    </cacheField>
    <cacheField name="AccidentDate" numFmtId="14">
      <sharedItems containsSemiMixedTypes="0" containsNonDate="0" containsDate="1" containsString="0" minDate="2020-01-02T00:00:00" maxDate="2024-12-27T00:00:00"/>
    </cacheField>
    <cacheField name="ReportDate" numFmtId="0">
      <sharedItems containsNonDate="0" containsDate="1" containsString="0" containsBlank="1" minDate="2020-01-20T00:00:00" maxDate="2025-03-10T00:00:00"/>
    </cacheField>
    <cacheField name="TransactionDate" numFmtId="14">
      <sharedItems containsSemiMixedTypes="0" containsNonDate="0" containsDate="1" containsString="0" minDate="2019-12-05T00:00:00" maxDate="2025-06-01T00:00:00"/>
    </cacheField>
    <cacheField name="TransactionAmount" numFmtId="0">
      <sharedItems containsSemiMixedTypes="0" containsString="0" containsNumber="1" minValue="-465199.11" maxValue="2702328.33"/>
    </cacheField>
    <cacheField name="Accident Year" numFmtId="0">
      <sharedItems containsSemiMixedTypes="0" containsString="0" containsNumber="1" containsInteger="1" minValue="2020" maxValue="2024" count="5">
        <n v="2023"/>
        <n v="2021"/>
        <n v="2022"/>
        <n v="2020"/>
        <n v="2024"/>
      </sharedItems>
    </cacheField>
    <cacheField name="Dev. Months" numFmtId="0">
      <sharedItems containsSemiMixedTypes="0" containsString="0" containsNumber="1" containsInteger="1" minValue="-2" maxValue="28"/>
    </cacheField>
    <cacheField name="Dev.Year" numFmtId="0">
      <sharedItems containsSemiMixedTypes="0" containsString="0" containsNumber="1" containsInteger="1" minValue="0" maxValue="3"/>
    </cacheField>
    <cacheField name="trans year" numFmtId="0">
      <sharedItems containsSemiMixedTypes="0" containsString="0" containsNumber="1" containsInteger="1" minValue="2019" maxValue="2025"/>
    </cacheField>
    <cacheField name="dev yaer" numFmtId="0">
      <sharedItems containsSemiMixedTypes="0" containsString="0" containsNumber="1" containsInteger="1" minValue="0" maxValue="3" count="4">
        <n v="1"/>
        <n v="0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5">
  <r>
    <s v="CLM-10729"/>
    <d v="2023-05-19T00:00:00"/>
    <d v="2023-07-10T00:00:00"/>
    <d v="2024-09-26T00:00:00"/>
    <n v="48356.6"/>
    <x v="0"/>
    <n v="16"/>
    <n v="2"/>
    <n v="2024"/>
    <x v="0"/>
  </r>
  <r>
    <s v="CLM-10334"/>
    <d v="2021-04-20T00:00:00"/>
    <d v="2021-04-29T00:00:00"/>
    <d v="2021-10-13T00:00:00"/>
    <n v="63551.48"/>
    <x v="1"/>
    <n v="6"/>
    <n v="1"/>
    <n v="2021"/>
    <x v="1"/>
  </r>
  <r>
    <s v="CLM-10128"/>
    <d v="2022-01-16T00:00:00"/>
    <d v="2022-01-26T00:00:00"/>
    <d v="2022-09-24T00:00:00"/>
    <n v="65621.89"/>
    <x v="2"/>
    <n v="8"/>
    <n v="1"/>
    <n v="2022"/>
    <x v="1"/>
  </r>
  <r>
    <s v="CLM-10162"/>
    <d v="2020-02-24T00:00:00"/>
    <d v="2020-04-24T00:00:00"/>
    <d v="2020-09-07T00:00:00"/>
    <n v="81999.100000000006"/>
    <x v="3"/>
    <n v="7"/>
    <n v="1"/>
    <n v="2020"/>
    <x v="1"/>
  </r>
  <r>
    <s v="CLM-10692"/>
    <d v="2021-08-14T00:00:00"/>
    <d v="2021-11-11T00:00:00"/>
    <d v="2022-08-18T00:00:00"/>
    <n v="82277.33"/>
    <x v="1"/>
    <n v="12"/>
    <n v="1"/>
    <n v="2022"/>
    <x v="0"/>
  </r>
  <r>
    <s v="CLM-10028"/>
    <d v="2020-03-02T00:00:00"/>
    <d v="2020-05-30T00:00:00"/>
    <d v="2021-11-01T00:00:00"/>
    <n v="82838"/>
    <x v="3"/>
    <n v="20"/>
    <n v="2"/>
    <n v="2021"/>
    <x v="0"/>
  </r>
  <r>
    <s v="CLM-10700"/>
    <d v="2021-02-08T00:00:00"/>
    <d v="2021-03-03T00:00:00"/>
    <d v="2021-08-01T00:00:00"/>
    <n v="24434.41"/>
    <x v="1"/>
    <n v="6"/>
    <n v="1"/>
    <n v="2021"/>
    <x v="1"/>
  </r>
  <r>
    <s v="CLM-10029"/>
    <d v="2021-03-21T00:00:00"/>
    <d v="2021-03-31T00:00:00"/>
    <d v="2021-05-11T00:00:00"/>
    <n v="19892.93"/>
    <x v="1"/>
    <n v="2"/>
    <n v="1"/>
    <n v="2021"/>
    <x v="1"/>
  </r>
  <r>
    <s v="CLM-10040"/>
    <d v="2022-01-05T00:00:00"/>
    <m/>
    <d v="2022-12-22T00:00:00"/>
    <n v="70182.14"/>
    <x v="2"/>
    <n v="11"/>
    <n v="1"/>
    <n v="2022"/>
    <x v="1"/>
  </r>
  <r>
    <s v="CLM-10622"/>
    <d v="2023-03-12T00:00:00"/>
    <d v="2023-03-27T00:00:00"/>
    <d v="2024-01-03T00:00:00"/>
    <n v="61067.93"/>
    <x v="0"/>
    <n v="10"/>
    <n v="1"/>
    <n v="2024"/>
    <x v="0"/>
  </r>
  <r>
    <s v="CLM-10616"/>
    <d v="2021-02-04T00:00:00"/>
    <d v="2021-03-08T00:00:00"/>
    <d v="2021-05-23T00:00:00"/>
    <n v="-2382.52"/>
    <x v="1"/>
    <n v="3"/>
    <n v="1"/>
    <n v="2021"/>
    <x v="1"/>
  </r>
  <r>
    <s v="CLM-10663"/>
    <d v="2020-11-09T00:00:00"/>
    <d v="2020-11-22T00:00:00"/>
    <d v="2021-04-03T00:00:00"/>
    <n v="24528.25"/>
    <x v="3"/>
    <n v="5"/>
    <n v="1"/>
    <n v="2021"/>
    <x v="0"/>
  </r>
  <r>
    <s v="CLM-10232"/>
    <d v="2021-09-05T00:00:00"/>
    <d v="2021-09-10T00:00:00"/>
    <d v="2021-10-11T00:00:00"/>
    <n v="66178.009999999995"/>
    <x v="1"/>
    <n v="1"/>
    <n v="1"/>
    <n v="2021"/>
    <x v="1"/>
  </r>
  <r>
    <s v="CLM-10555"/>
    <d v="2022-12-21T00:00:00"/>
    <d v="2023-03-18T00:00:00"/>
    <d v="2023-12-05T00:00:00"/>
    <n v="25302.26"/>
    <x v="2"/>
    <n v="12"/>
    <n v="1"/>
    <n v="2023"/>
    <x v="0"/>
  </r>
  <r>
    <s v="CLM-10482"/>
    <d v="2024-02-01T00:00:00"/>
    <d v="2024-02-23T00:00:00"/>
    <d v="2024-12-23T00:00:00"/>
    <n v="47450.68"/>
    <x v="4"/>
    <n v="10"/>
    <n v="1"/>
    <n v="2024"/>
    <x v="1"/>
  </r>
  <r>
    <s v="CLM-10280"/>
    <d v="2023-02-13T00:00:00"/>
    <d v="2023-04-15T00:00:00"/>
    <d v="2024-03-23T00:00:00"/>
    <n v="60844.34"/>
    <x v="0"/>
    <n v="13"/>
    <n v="2"/>
    <n v="2024"/>
    <x v="0"/>
  </r>
  <r>
    <s v="CLM-10616"/>
    <d v="2021-02-04T00:00:00"/>
    <d v="2021-03-08T00:00:00"/>
    <d v="2021-03-28T00:00:00"/>
    <n v="21454.91"/>
    <x v="1"/>
    <n v="1"/>
    <n v="1"/>
    <n v="2021"/>
    <x v="1"/>
  </r>
  <r>
    <s v="CLM-10685"/>
    <d v="2020-03-16T00:00:00"/>
    <d v="2020-03-17T00:00:00"/>
    <d v="2020-06-12T00:00:00"/>
    <n v="40494.639999999999"/>
    <x v="3"/>
    <n v="3"/>
    <n v="1"/>
    <n v="2020"/>
    <x v="1"/>
  </r>
  <r>
    <s v="CLM-10015"/>
    <d v="2020-07-20T00:00:00"/>
    <d v="2020-08-17T00:00:00"/>
    <d v="2021-04-16T00:00:00"/>
    <n v="45125.14"/>
    <x v="3"/>
    <n v="9"/>
    <n v="1"/>
    <n v="2021"/>
    <x v="0"/>
  </r>
  <r>
    <s v="CLM-10145"/>
    <d v="2020-01-21T00:00:00"/>
    <d v="2020-03-11T00:00:00"/>
    <d v="2021-04-14T00:00:00"/>
    <n v="29866.65"/>
    <x v="3"/>
    <n v="15"/>
    <n v="2"/>
    <n v="2021"/>
    <x v="0"/>
  </r>
  <r>
    <s v="CLM-10138"/>
    <d v="2023-02-27T00:00:00"/>
    <d v="2023-05-07T00:00:00"/>
    <d v="2024-03-28T00:00:00"/>
    <n v="78378.48"/>
    <x v="0"/>
    <n v="13"/>
    <n v="2"/>
    <n v="2024"/>
    <x v="0"/>
  </r>
  <r>
    <s v="CLM-10076"/>
    <d v="2023-01-08T00:00:00"/>
    <d v="2023-03-22T00:00:00"/>
    <d v="2023-10-13T00:00:00"/>
    <n v="13538.44"/>
    <x v="0"/>
    <n v="9"/>
    <n v="1"/>
    <n v="2023"/>
    <x v="1"/>
  </r>
  <r>
    <s v="CLM-10608"/>
    <d v="2020-06-26T00:00:00"/>
    <d v="2020-08-20T00:00:00"/>
    <d v="2021-07-22T00:00:00"/>
    <n v="54307.23"/>
    <x v="3"/>
    <n v="13"/>
    <n v="2"/>
    <n v="2021"/>
    <x v="0"/>
  </r>
  <r>
    <s v="CLM-10656"/>
    <d v="2024-12-13T00:00:00"/>
    <m/>
    <d v="2025-04-09T00:00:00"/>
    <n v="81046.11"/>
    <x v="4"/>
    <n v="4"/>
    <n v="1"/>
    <n v="2025"/>
    <x v="0"/>
  </r>
  <r>
    <s v="CLM-10366"/>
    <d v="2023-03-21T00:00:00"/>
    <d v="2023-03-23T00:00:00"/>
    <d v="2025-03-17T00:00:00"/>
    <n v="57115.48"/>
    <x v="0"/>
    <n v="24"/>
    <n v="2"/>
    <n v="2025"/>
    <x v="2"/>
  </r>
  <r>
    <s v="CLM-10680"/>
    <d v="2022-12-29T00:00:00"/>
    <d v="2023-01-30T00:00:00"/>
    <d v="2023-04-03T00:00:00"/>
    <n v="40189.53"/>
    <x v="2"/>
    <n v="4"/>
    <n v="1"/>
    <n v="2023"/>
    <x v="0"/>
  </r>
  <r>
    <s v="CLM-10673"/>
    <d v="2021-02-09T00:00:00"/>
    <d v="2021-04-06T00:00:00"/>
    <d v="2021-06-20T00:00:00"/>
    <n v="73480.240000000005"/>
    <x v="1"/>
    <n v="4"/>
    <n v="1"/>
    <n v="2021"/>
    <x v="1"/>
  </r>
  <r>
    <s v="CLM-10158"/>
    <d v="2023-05-04T00:00:00"/>
    <d v="2023-06-29T00:00:00"/>
    <d v="2023-10-29T00:00:00"/>
    <n v="76148.36"/>
    <x v="0"/>
    <n v="5"/>
    <n v="1"/>
    <n v="2023"/>
    <x v="1"/>
  </r>
  <r>
    <s v="CLM-10219"/>
    <d v="2024-08-21T00:00:00"/>
    <d v="2024-10-20T00:00:00"/>
    <d v="2024-12-21T00:00:00"/>
    <n v="57488.29"/>
    <x v="4"/>
    <n v="4"/>
    <n v="1"/>
    <n v="2024"/>
    <x v="1"/>
  </r>
  <r>
    <s v="CLM-10321"/>
    <d v="2020-08-16T00:00:00"/>
    <d v="2020-11-09T00:00:00"/>
    <d v="2021-05-13T00:00:00"/>
    <n v="75802.720000000001"/>
    <x v="3"/>
    <n v="9"/>
    <n v="1"/>
    <n v="2021"/>
    <x v="0"/>
  </r>
  <r>
    <s v="CLM-10393"/>
    <d v="2020-05-19T00:00:00"/>
    <d v="2020-06-04T00:00:00"/>
    <d v="2020-07-16T00:00:00"/>
    <n v="-22824.31"/>
    <x v="3"/>
    <n v="2"/>
    <n v="1"/>
    <n v="2020"/>
    <x v="1"/>
  </r>
  <r>
    <s v="CLM-10092"/>
    <d v="2020-06-15T00:00:00"/>
    <d v="2020-09-08T00:00:00"/>
    <d v="2021-07-25T00:00:00"/>
    <n v="72909.95"/>
    <x v="3"/>
    <n v="13"/>
    <n v="2"/>
    <n v="2021"/>
    <x v="0"/>
  </r>
  <r>
    <s v="CLM-10088"/>
    <d v="2023-01-28T00:00:00"/>
    <d v="2023-04-01T00:00:00"/>
    <d v="2023-05-01T00:00:00"/>
    <n v="81217.47"/>
    <x v="0"/>
    <n v="4"/>
    <n v="1"/>
    <n v="2023"/>
    <x v="1"/>
  </r>
  <r>
    <s v="CLM-10372"/>
    <d v="2020-05-11T00:00:00"/>
    <d v="2020-07-23T00:00:00"/>
    <d v="2020-08-20T00:00:00"/>
    <n v="-5485.62"/>
    <x v="3"/>
    <n v="3"/>
    <n v="1"/>
    <n v="2020"/>
    <x v="1"/>
  </r>
  <r>
    <s v="CLM-10150"/>
    <d v="2021-06-20T00:00:00"/>
    <d v="2021-06-25T00:00:00"/>
    <d v="2021-12-12T00:00:00"/>
    <n v="49825.67"/>
    <x v="1"/>
    <n v="6"/>
    <n v="1"/>
    <n v="2021"/>
    <x v="1"/>
  </r>
  <r>
    <s v="CLM-10011"/>
    <d v="2020-03-23T00:00:00"/>
    <d v="2020-04-06T00:00:00"/>
    <d v="2022-04-22T00:00:00"/>
    <n v="-4884.83"/>
    <x v="3"/>
    <n v="25"/>
    <n v="3"/>
    <n v="2022"/>
    <x v="2"/>
  </r>
  <r>
    <s v="CLM-10177"/>
    <d v="2020-02-03T00:00:00"/>
    <d v="2020-03-24T00:00:00"/>
    <d v="2020-08-04T00:00:00"/>
    <n v="23356.31"/>
    <x v="3"/>
    <n v="6"/>
    <n v="1"/>
    <n v="2020"/>
    <x v="1"/>
  </r>
  <r>
    <s v="CLM-10342"/>
    <d v="2022-09-06T00:00:00"/>
    <d v="2022-11-15T00:00:00"/>
    <d v="2023-05-26T00:00:00"/>
    <n v="49996.14"/>
    <x v="2"/>
    <n v="8"/>
    <n v="1"/>
    <n v="2023"/>
    <x v="0"/>
  </r>
  <r>
    <s v="CLM-10458"/>
    <d v="2022-10-02T00:00:00"/>
    <d v="2022-10-24T00:00:00"/>
    <d v="2023-02-03T00:00:00"/>
    <n v="77659.929999999993"/>
    <x v="2"/>
    <n v="4"/>
    <n v="1"/>
    <n v="2023"/>
    <x v="0"/>
  </r>
  <r>
    <s v="CLM-10493"/>
    <d v="2021-04-16T00:00:00"/>
    <d v="2021-05-19T00:00:00"/>
    <d v="2022-03-28T00:00:00"/>
    <n v="55087.02"/>
    <x v="1"/>
    <n v="11"/>
    <n v="1"/>
    <n v="2022"/>
    <x v="0"/>
  </r>
  <r>
    <s v="CLM-10601"/>
    <d v="2021-10-19T00:00:00"/>
    <d v="2021-12-26T00:00:00"/>
    <d v="2022-12-13T00:00:00"/>
    <n v="71619.39"/>
    <x v="1"/>
    <n v="14"/>
    <n v="2"/>
    <n v="2022"/>
    <x v="0"/>
  </r>
  <r>
    <s v="CLM-10098"/>
    <d v="2023-05-17T00:00:00"/>
    <d v="2023-07-25T00:00:00"/>
    <d v="2024-08-02T00:00:00"/>
    <n v="71102.820000000007"/>
    <x v="0"/>
    <n v="15"/>
    <n v="2"/>
    <n v="2024"/>
    <x v="0"/>
  </r>
  <r>
    <s v="CLM-10484"/>
    <d v="2023-01-23T00:00:00"/>
    <d v="2023-03-30T00:00:00"/>
    <d v="2024-11-23T00:00:00"/>
    <n v="40503.089999999997"/>
    <x v="0"/>
    <n v="22"/>
    <n v="2"/>
    <n v="2024"/>
    <x v="0"/>
  </r>
  <r>
    <s v="CLM-10309"/>
    <d v="2024-11-23T00:00:00"/>
    <m/>
    <d v="2025-05-03T00:00:00"/>
    <n v="2242043.8199999998"/>
    <x v="4"/>
    <n v="6"/>
    <n v="1"/>
    <n v="2025"/>
    <x v="0"/>
  </r>
  <r>
    <s v="CLM-10129"/>
    <d v="2020-03-20T00:00:00"/>
    <d v="2020-04-22T00:00:00"/>
    <d v="2020-09-04T00:00:00"/>
    <n v="28960.61"/>
    <x v="3"/>
    <n v="6"/>
    <n v="1"/>
    <n v="2020"/>
    <x v="1"/>
  </r>
  <r>
    <s v="CLM-10341"/>
    <d v="2024-05-09T00:00:00"/>
    <d v="2024-06-16T00:00:00"/>
    <d v="2024-10-12T00:00:00"/>
    <n v="65509.46"/>
    <x v="4"/>
    <n v="5"/>
    <n v="1"/>
    <n v="2024"/>
    <x v="1"/>
  </r>
  <r>
    <s v="CLM-10631"/>
    <d v="2023-12-04T00:00:00"/>
    <d v="2024-01-17T00:00:00"/>
    <d v="2024-05-23T00:00:00"/>
    <n v="28040.71"/>
    <x v="0"/>
    <n v="5"/>
    <n v="1"/>
    <n v="2024"/>
    <x v="0"/>
  </r>
  <r>
    <s v="CLM-10449"/>
    <d v="2021-03-25T00:00:00"/>
    <d v="2021-05-31T00:00:00"/>
    <d v="2021-08-17T00:00:00"/>
    <n v="9788.73"/>
    <x v="1"/>
    <n v="5"/>
    <n v="1"/>
    <n v="2021"/>
    <x v="1"/>
  </r>
  <r>
    <s v="CLM-10355"/>
    <d v="2023-03-23T00:00:00"/>
    <d v="2023-04-15T00:00:00"/>
    <d v="2024-06-10T00:00:00"/>
    <n v="-19151.28"/>
    <x v="0"/>
    <n v="15"/>
    <n v="2"/>
    <n v="2024"/>
    <x v="0"/>
  </r>
  <r>
    <s v="CLM-10015"/>
    <d v="2020-07-20T00:00:00"/>
    <d v="2020-08-17T00:00:00"/>
    <d v="2020-10-05T00:00:00"/>
    <n v="54083.86"/>
    <x v="3"/>
    <n v="3"/>
    <n v="1"/>
    <n v="2020"/>
    <x v="1"/>
  </r>
  <r>
    <s v="CLM-10235"/>
    <d v="2022-09-19T00:00:00"/>
    <d v="2022-12-14T00:00:00"/>
    <d v="2023-06-10T00:00:00"/>
    <n v="44509.599999999999"/>
    <x v="2"/>
    <n v="9"/>
    <n v="1"/>
    <n v="2023"/>
    <x v="0"/>
  </r>
  <r>
    <s v="CLM-10113"/>
    <d v="2020-02-04T00:00:00"/>
    <d v="2020-04-04T00:00:00"/>
    <d v="2021-01-18T00:00:00"/>
    <n v="43634.29"/>
    <x v="3"/>
    <n v="11"/>
    <n v="1"/>
    <n v="2021"/>
    <x v="0"/>
  </r>
  <r>
    <s v="CLM-10223"/>
    <d v="2020-06-27T00:00:00"/>
    <d v="2020-08-09T00:00:00"/>
    <d v="2020-09-15T00:00:00"/>
    <n v="59866.04"/>
    <x v="3"/>
    <n v="3"/>
    <n v="1"/>
    <n v="2020"/>
    <x v="1"/>
  </r>
  <r>
    <s v="CLM-10355"/>
    <d v="2023-03-23T00:00:00"/>
    <d v="2023-04-15T00:00:00"/>
    <d v="2023-07-06T00:00:00"/>
    <n v="18728.34"/>
    <x v="0"/>
    <n v="4"/>
    <n v="1"/>
    <n v="2023"/>
    <x v="1"/>
  </r>
  <r>
    <s v="CLM-10408"/>
    <d v="2020-04-25T00:00:00"/>
    <d v="2020-07-07T00:00:00"/>
    <d v="2021-01-07T00:00:00"/>
    <n v="27382.83"/>
    <x v="3"/>
    <n v="9"/>
    <n v="1"/>
    <n v="2021"/>
    <x v="0"/>
  </r>
  <r>
    <s v="CLM-10171"/>
    <d v="2021-09-13T00:00:00"/>
    <d v="2021-11-10T00:00:00"/>
    <d v="2023-04-02T00:00:00"/>
    <n v="6379.1"/>
    <x v="1"/>
    <n v="19"/>
    <n v="2"/>
    <n v="2023"/>
    <x v="2"/>
  </r>
  <r>
    <s v="CLM-10239"/>
    <d v="2023-09-22T00:00:00"/>
    <d v="2023-11-08T00:00:00"/>
    <d v="2024-02-09T00:00:00"/>
    <n v="45366.43"/>
    <x v="0"/>
    <n v="5"/>
    <n v="1"/>
    <n v="2024"/>
    <x v="0"/>
  </r>
  <r>
    <s v="CLM-10326"/>
    <d v="2021-03-08T00:00:00"/>
    <d v="2021-05-20T00:00:00"/>
    <d v="2021-10-07T00:00:00"/>
    <n v="38391.11"/>
    <x v="1"/>
    <n v="7"/>
    <n v="1"/>
    <n v="2021"/>
    <x v="1"/>
  </r>
  <r>
    <s v="CLM-10003"/>
    <d v="2024-05-12T00:00:00"/>
    <d v="2024-05-18T00:00:00"/>
    <d v="2024-06-08T00:00:00"/>
    <n v="50420.04"/>
    <x v="4"/>
    <n v="1"/>
    <n v="1"/>
    <n v="2024"/>
    <x v="1"/>
  </r>
  <r>
    <s v="CLM-10699"/>
    <d v="2024-06-30T00:00:00"/>
    <d v="2024-07-08T00:00:00"/>
    <d v="2025-04-08T00:00:00"/>
    <n v="66354.14"/>
    <x v="4"/>
    <n v="10"/>
    <n v="1"/>
    <n v="2025"/>
    <x v="0"/>
  </r>
  <r>
    <s v="CLM-10172"/>
    <d v="2022-02-17T00:00:00"/>
    <d v="2022-04-25T00:00:00"/>
    <d v="2023-03-18T00:00:00"/>
    <n v="54133.45"/>
    <x v="2"/>
    <n v="13"/>
    <n v="2"/>
    <n v="2023"/>
    <x v="0"/>
  </r>
  <r>
    <s v="CLM-10407"/>
    <d v="2021-01-21T00:00:00"/>
    <d v="2021-04-02T00:00:00"/>
    <d v="2022-03-08T00:00:00"/>
    <n v="18746.39"/>
    <x v="1"/>
    <n v="14"/>
    <n v="2"/>
    <n v="2022"/>
    <x v="0"/>
  </r>
  <r>
    <s v="CLM-10733"/>
    <d v="2021-09-06T00:00:00"/>
    <d v="2021-10-18T00:00:00"/>
    <d v="2022-07-24T00:00:00"/>
    <n v="33953.99"/>
    <x v="1"/>
    <n v="10"/>
    <n v="1"/>
    <n v="2022"/>
    <x v="0"/>
  </r>
  <r>
    <s v="CLM-10691"/>
    <d v="2021-02-13T00:00:00"/>
    <d v="2021-03-26T00:00:00"/>
    <d v="2021-10-02T00:00:00"/>
    <n v="10593.64"/>
    <x v="1"/>
    <n v="8"/>
    <n v="1"/>
    <n v="2021"/>
    <x v="1"/>
  </r>
  <r>
    <s v="CLM-10198"/>
    <d v="2021-04-17T00:00:00"/>
    <d v="2021-07-06T00:00:00"/>
    <d v="2022-05-25T00:00:00"/>
    <n v="20444.12"/>
    <x v="1"/>
    <n v="13"/>
    <n v="2"/>
    <n v="2022"/>
    <x v="0"/>
  </r>
  <r>
    <s v="CLM-10691"/>
    <d v="2021-02-13T00:00:00"/>
    <d v="2021-03-26T00:00:00"/>
    <d v="2022-02-04T00:00:00"/>
    <n v="16503.37"/>
    <x v="1"/>
    <n v="12"/>
    <n v="1"/>
    <n v="2022"/>
    <x v="0"/>
  </r>
  <r>
    <s v="CLM-10033"/>
    <d v="2024-07-15T00:00:00"/>
    <d v="2024-09-22T00:00:00"/>
    <d v="2024-11-21T00:00:00"/>
    <n v="13531.76"/>
    <x v="4"/>
    <n v="4"/>
    <n v="1"/>
    <n v="2024"/>
    <x v="1"/>
  </r>
  <r>
    <s v="CLM-10493"/>
    <d v="2021-04-16T00:00:00"/>
    <d v="2021-05-19T00:00:00"/>
    <d v="2021-10-28T00:00:00"/>
    <n v="58020.5"/>
    <x v="1"/>
    <n v="6"/>
    <n v="1"/>
    <n v="2021"/>
    <x v="1"/>
  </r>
  <r>
    <s v="CLM-10359"/>
    <d v="2023-06-21T00:00:00"/>
    <d v="2023-09-18T00:00:00"/>
    <d v="2024-05-01T00:00:00"/>
    <n v="37025.32"/>
    <x v="0"/>
    <n v="11"/>
    <n v="1"/>
    <n v="2024"/>
    <x v="0"/>
  </r>
  <r>
    <s v="CLM-10579"/>
    <d v="2020-07-05T00:00:00"/>
    <d v="2020-08-15T00:00:00"/>
    <d v="2021-01-02T00:00:00"/>
    <n v="-2118.63"/>
    <x v="3"/>
    <n v="6"/>
    <n v="1"/>
    <n v="2021"/>
    <x v="0"/>
  </r>
  <r>
    <s v="CLM-10129"/>
    <d v="2020-03-20T00:00:00"/>
    <d v="2020-04-22T00:00:00"/>
    <d v="2021-02-04T00:00:00"/>
    <n v="9950.4599999999991"/>
    <x v="3"/>
    <n v="11"/>
    <n v="1"/>
    <n v="2021"/>
    <x v="0"/>
  </r>
  <r>
    <s v="CLM-10690"/>
    <d v="2024-07-12T00:00:00"/>
    <d v="2024-10-07T00:00:00"/>
    <d v="2025-03-21T00:00:00"/>
    <n v="54428.75"/>
    <x v="4"/>
    <n v="8"/>
    <n v="1"/>
    <n v="2025"/>
    <x v="0"/>
  </r>
  <r>
    <s v="CLM-10119"/>
    <d v="2022-11-23T00:00:00"/>
    <d v="2023-01-07T00:00:00"/>
    <d v="2023-03-25T00:00:00"/>
    <n v="12607.09"/>
    <x v="2"/>
    <n v="4"/>
    <n v="1"/>
    <n v="2023"/>
    <x v="0"/>
  </r>
  <r>
    <s v="CLM-10562"/>
    <d v="2021-06-21T00:00:00"/>
    <m/>
    <d v="2022-05-04T00:00:00"/>
    <n v="68143.64"/>
    <x v="1"/>
    <n v="11"/>
    <n v="1"/>
    <n v="2022"/>
    <x v="0"/>
  </r>
  <r>
    <s v="CLM-10592"/>
    <d v="2024-02-09T00:00:00"/>
    <d v="2024-04-20T00:00:00"/>
    <d v="2024-05-16T00:00:00"/>
    <n v="25447.95"/>
    <x v="4"/>
    <n v="3"/>
    <n v="1"/>
    <n v="2024"/>
    <x v="1"/>
  </r>
  <r>
    <s v="CLM-10736"/>
    <d v="2021-11-10T00:00:00"/>
    <d v="2022-01-29T00:00:00"/>
    <d v="2022-10-14T00:00:00"/>
    <n v="77818.710000000006"/>
    <x v="1"/>
    <n v="11"/>
    <n v="1"/>
    <n v="2022"/>
    <x v="0"/>
  </r>
  <r>
    <s v="CLM-10641"/>
    <d v="2020-01-14T00:00:00"/>
    <d v="2020-04-05T00:00:00"/>
    <d v="2021-03-03T00:00:00"/>
    <n v="30599.34"/>
    <x v="3"/>
    <n v="14"/>
    <n v="2"/>
    <n v="2021"/>
    <x v="0"/>
  </r>
  <r>
    <s v="CLM-10063"/>
    <d v="2021-08-14T00:00:00"/>
    <d v="2021-10-09T00:00:00"/>
    <d v="2021-12-13T00:00:00"/>
    <n v="3268.62"/>
    <x v="1"/>
    <n v="4"/>
    <n v="1"/>
    <n v="2021"/>
    <x v="1"/>
  </r>
  <r>
    <s v="CLM-10233"/>
    <d v="2020-07-08T00:00:00"/>
    <d v="2020-08-20T00:00:00"/>
    <d v="2020-11-29T00:00:00"/>
    <n v="-7370.24"/>
    <x v="3"/>
    <n v="4"/>
    <n v="1"/>
    <n v="2020"/>
    <x v="1"/>
  </r>
  <r>
    <s v="CLM-10007"/>
    <d v="2022-12-13T00:00:00"/>
    <d v="2023-01-27T00:00:00"/>
    <d v="2023-10-08T00:00:00"/>
    <n v="59098.35"/>
    <x v="2"/>
    <n v="10"/>
    <n v="1"/>
    <n v="2023"/>
    <x v="0"/>
  </r>
  <r>
    <s v="CLM-10080"/>
    <d v="2021-02-18T00:00:00"/>
    <d v="2021-03-21T00:00:00"/>
    <d v="2021-05-21T00:00:00"/>
    <n v="68061.350000000006"/>
    <x v="1"/>
    <n v="3"/>
    <n v="1"/>
    <n v="2021"/>
    <x v="1"/>
  </r>
  <r>
    <s v="CLM-10210"/>
    <d v="2021-07-05T00:00:00"/>
    <d v="2021-08-03T00:00:00"/>
    <d v="2022-01-13T00:00:00"/>
    <n v="-12495.9"/>
    <x v="1"/>
    <n v="6"/>
    <n v="1"/>
    <n v="2022"/>
    <x v="0"/>
  </r>
  <r>
    <s v="CLM-10430"/>
    <d v="2020-05-28T00:00:00"/>
    <d v="2020-07-12T00:00:00"/>
    <d v="2020-12-18T00:00:00"/>
    <n v="5568"/>
    <x v="3"/>
    <n v="7"/>
    <n v="1"/>
    <n v="2020"/>
    <x v="1"/>
  </r>
  <r>
    <s v="CLM-10184"/>
    <d v="2020-12-27T00:00:00"/>
    <d v="2021-01-30T00:00:00"/>
    <d v="2022-09-04T00:00:00"/>
    <n v="52615.68"/>
    <x v="3"/>
    <n v="21"/>
    <n v="2"/>
    <n v="2022"/>
    <x v="2"/>
  </r>
  <r>
    <s v="CLM-10288"/>
    <d v="2022-02-17T00:00:00"/>
    <d v="2022-04-07T00:00:00"/>
    <d v="2022-09-06T00:00:00"/>
    <n v="22519.75"/>
    <x v="2"/>
    <n v="7"/>
    <n v="1"/>
    <n v="2022"/>
    <x v="1"/>
  </r>
  <r>
    <s v="CLM-10034"/>
    <d v="2023-04-03T00:00:00"/>
    <d v="2023-06-25T00:00:00"/>
    <d v="2023-11-25T00:00:00"/>
    <n v="-5333.79"/>
    <x v="0"/>
    <n v="7"/>
    <n v="1"/>
    <n v="2023"/>
    <x v="1"/>
  </r>
  <r>
    <s v="CLM-10197"/>
    <d v="2024-05-10T00:00:00"/>
    <d v="2024-07-05T00:00:00"/>
    <d v="2025-02-12T00:00:00"/>
    <n v="-19294.27"/>
    <x v="4"/>
    <n v="9"/>
    <n v="1"/>
    <n v="2025"/>
    <x v="0"/>
  </r>
  <r>
    <s v="CLM-10267"/>
    <d v="2020-04-20T00:00:00"/>
    <d v="2020-04-21T00:00:00"/>
    <d v="2021-03-18T00:00:00"/>
    <n v="-13554"/>
    <x v="3"/>
    <n v="11"/>
    <n v="1"/>
    <n v="2021"/>
    <x v="0"/>
  </r>
  <r>
    <s v="CLM-10747"/>
    <d v="2023-06-05T00:00:00"/>
    <m/>
    <d v="2024-05-16T00:00:00"/>
    <n v="30998.54"/>
    <x v="0"/>
    <n v="11"/>
    <n v="1"/>
    <n v="2024"/>
    <x v="0"/>
  </r>
  <r>
    <s v="CLM-10385"/>
    <d v="2023-09-23T00:00:00"/>
    <d v="2023-11-26T00:00:00"/>
    <d v="2024-04-17T00:00:00"/>
    <n v="67480.73"/>
    <x v="0"/>
    <n v="7"/>
    <n v="1"/>
    <n v="2024"/>
    <x v="0"/>
  </r>
  <r>
    <s v="CLM-10617"/>
    <d v="2020-07-28T00:00:00"/>
    <d v="2020-08-07T00:00:00"/>
    <d v="2020-12-18T00:00:00"/>
    <n v="2839.02"/>
    <x v="3"/>
    <n v="5"/>
    <n v="1"/>
    <n v="2020"/>
    <x v="1"/>
  </r>
  <r>
    <s v="CLM-10374"/>
    <d v="2022-01-12T00:00:00"/>
    <d v="2022-02-11T00:00:00"/>
    <d v="2022-09-20T00:00:00"/>
    <n v="79606.47"/>
    <x v="2"/>
    <n v="8"/>
    <n v="1"/>
    <n v="2022"/>
    <x v="1"/>
  </r>
  <r>
    <s v="CLM-10547"/>
    <d v="2020-11-28T00:00:00"/>
    <d v="2021-02-13T00:00:00"/>
    <d v="2021-03-01T00:00:00"/>
    <n v="77903.55"/>
    <x v="3"/>
    <n v="4"/>
    <n v="1"/>
    <n v="2021"/>
    <x v="0"/>
  </r>
  <r>
    <s v="CLM-10383"/>
    <d v="2023-06-20T00:00:00"/>
    <d v="2023-07-10T00:00:00"/>
    <d v="2023-09-08T00:00:00"/>
    <n v="59193.11"/>
    <x v="0"/>
    <n v="3"/>
    <n v="1"/>
    <n v="2023"/>
    <x v="1"/>
  </r>
  <r>
    <s v="CLM-10174"/>
    <d v="2021-12-04T00:00:00"/>
    <d v="2022-01-29T00:00:00"/>
    <d v="2022-03-17T00:00:00"/>
    <n v="54243.78"/>
    <x v="1"/>
    <n v="3"/>
    <n v="1"/>
    <n v="2022"/>
    <x v="0"/>
  </r>
  <r>
    <s v="CLM-10426"/>
    <d v="2023-10-14T00:00:00"/>
    <d v="2023-11-25T00:00:00"/>
    <d v="2023-09-11T00:00:00"/>
    <n v="13015.09"/>
    <x v="0"/>
    <n v="-1"/>
    <n v="0"/>
    <n v="2023"/>
    <x v="1"/>
  </r>
  <r>
    <s v="CLM-10597"/>
    <d v="2021-08-12T00:00:00"/>
    <d v="2021-09-02T00:00:00"/>
    <d v="2021-07-04T00:00:00"/>
    <n v="40819.550000000003"/>
    <x v="1"/>
    <n v="-1"/>
    <n v="0"/>
    <n v="2021"/>
    <x v="1"/>
  </r>
  <r>
    <s v="CLM-10410"/>
    <d v="2023-09-28T00:00:00"/>
    <d v="2023-12-10T00:00:00"/>
    <d v="2025-01-28T00:00:00"/>
    <n v="-8211.69"/>
    <x v="0"/>
    <n v="16"/>
    <n v="2"/>
    <n v="2025"/>
    <x v="2"/>
  </r>
  <r>
    <s v="CLM-10427"/>
    <d v="2021-02-16T00:00:00"/>
    <d v="2021-04-15T00:00:00"/>
    <d v="2021-12-14T00:00:00"/>
    <n v="17926.400000000001"/>
    <x v="1"/>
    <n v="10"/>
    <n v="1"/>
    <n v="2021"/>
    <x v="1"/>
  </r>
  <r>
    <s v="CLM-10147"/>
    <d v="2022-06-21T00:00:00"/>
    <d v="2022-07-10T00:00:00"/>
    <d v="2022-08-04T00:00:00"/>
    <n v="15295.74"/>
    <x v="2"/>
    <n v="2"/>
    <n v="1"/>
    <n v="2022"/>
    <x v="1"/>
  </r>
  <r>
    <s v="CLM-10795"/>
    <d v="2020-01-24T00:00:00"/>
    <d v="2020-03-06T00:00:00"/>
    <d v="2021-10-30T00:00:00"/>
    <n v="22792.93"/>
    <x v="3"/>
    <n v="21"/>
    <n v="2"/>
    <n v="2021"/>
    <x v="0"/>
  </r>
  <r>
    <s v="CLM-10279"/>
    <d v="2023-10-19T00:00:00"/>
    <d v="2023-12-06T00:00:00"/>
    <d v="2024-10-21T00:00:00"/>
    <n v="20384.14"/>
    <x v="0"/>
    <n v="12"/>
    <n v="1"/>
    <n v="2024"/>
    <x v="0"/>
  </r>
  <r>
    <s v="CLM-10732"/>
    <d v="2024-04-29T00:00:00"/>
    <d v="2024-05-02T00:00:00"/>
    <d v="2024-07-29T00:00:00"/>
    <n v="4432.7299999999996"/>
    <x v="4"/>
    <n v="3"/>
    <n v="1"/>
    <n v="2024"/>
    <x v="1"/>
  </r>
  <r>
    <s v="CLM-10678"/>
    <d v="2022-12-22T00:00:00"/>
    <d v="2023-03-11T00:00:00"/>
    <d v="2023-04-11T00:00:00"/>
    <n v="-22282.32"/>
    <x v="2"/>
    <n v="4"/>
    <n v="1"/>
    <n v="2023"/>
    <x v="0"/>
  </r>
  <r>
    <s v="CLM-10191"/>
    <d v="2024-10-23T00:00:00"/>
    <m/>
    <d v="2025-01-18T00:00:00"/>
    <n v="51033.06"/>
    <x v="4"/>
    <n v="3"/>
    <n v="1"/>
    <n v="2025"/>
    <x v="0"/>
  </r>
  <r>
    <s v="CLM-10179"/>
    <d v="2022-05-13T00:00:00"/>
    <d v="2022-07-28T00:00:00"/>
    <d v="2023-08-28T00:00:00"/>
    <n v="55924.47"/>
    <x v="2"/>
    <n v="15"/>
    <n v="2"/>
    <n v="2023"/>
    <x v="0"/>
  </r>
  <r>
    <s v="CLM-10595"/>
    <d v="2023-12-26T00:00:00"/>
    <d v="2024-01-15T00:00:00"/>
    <d v="2024-06-05T00:00:00"/>
    <n v="2861.36"/>
    <x v="0"/>
    <n v="6"/>
    <n v="1"/>
    <n v="2024"/>
    <x v="0"/>
  </r>
  <r>
    <s v="CLM-10220"/>
    <d v="2022-09-04T00:00:00"/>
    <d v="2022-09-22T00:00:00"/>
    <d v="2023-02-07T00:00:00"/>
    <n v="31572.29"/>
    <x v="2"/>
    <n v="5"/>
    <n v="1"/>
    <n v="2023"/>
    <x v="0"/>
  </r>
  <r>
    <s v="CLM-10427"/>
    <d v="2021-02-16T00:00:00"/>
    <d v="2021-04-15T00:00:00"/>
    <d v="2021-09-01T00:00:00"/>
    <n v="81344.31"/>
    <x v="1"/>
    <n v="7"/>
    <n v="1"/>
    <n v="2021"/>
    <x v="1"/>
  </r>
  <r>
    <s v="CLM-10224"/>
    <d v="2020-11-06T00:00:00"/>
    <d v="2021-01-11T00:00:00"/>
    <d v="2022-04-10T00:00:00"/>
    <n v="77608.179999999993"/>
    <x v="3"/>
    <n v="17"/>
    <n v="2"/>
    <n v="2022"/>
    <x v="2"/>
  </r>
  <r>
    <s v="CLM-10704"/>
    <d v="2022-10-31T00:00:00"/>
    <d v="2022-12-12T00:00:00"/>
    <d v="2023-11-03T00:00:00"/>
    <n v="-17891.650000000001"/>
    <x v="2"/>
    <n v="13"/>
    <n v="2"/>
    <n v="2023"/>
    <x v="0"/>
  </r>
  <r>
    <s v="CLM-10175"/>
    <d v="2021-11-06T00:00:00"/>
    <d v="2021-11-19T00:00:00"/>
    <d v="2022-02-06T00:00:00"/>
    <n v="24165.72"/>
    <x v="1"/>
    <n v="3"/>
    <n v="1"/>
    <n v="2022"/>
    <x v="0"/>
  </r>
  <r>
    <s v="CLM-10664"/>
    <d v="2022-09-26T00:00:00"/>
    <d v="2022-10-13T00:00:00"/>
    <d v="2023-03-16T00:00:00"/>
    <n v="-16735.52"/>
    <x v="2"/>
    <n v="6"/>
    <n v="1"/>
    <n v="2023"/>
    <x v="0"/>
  </r>
  <r>
    <s v="CLM-10295"/>
    <d v="2020-09-24T00:00:00"/>
    <d v="2020-10-28T00:00:00"/>
    <d v="2021-07-10T00:00:00"/>
    <n v="47688.86"/>
    <x v="3"/>
    <n v="10"/>
    <n v="1"/>
    <n v="2021"/>
    <x v="0"/>
  </r>
  <r>
    <s v="CLM-10172"/>
    <d v="2022-02-17T00:00:00"/>
    <d v="2022-04-25T00:00:00"/>
    <d v="2023-04-05T00:00:00"/>
    <n v="20407.13"/>
    <x v="2"/>
    <n v="14"/>
    <n v="2"/>
    <n v="2023"/>
    <x v="0"/>
  </r>
  <r>
    <s v="CLM-10481"/>
    <d v="2021-01-06T00:00:00"/>
    <d v="2021-02-20T00:00:00"/>
    <d v="2021-08-18T00:00:00"/>
    <n v="48433.15"/>
    <x v="1"/>
    <n v="7"/>
    <n v="1"/>
    <n v="2021"/>
    <x v="1"/>
  </r>
  <r>
    <s v="CLM-10712"/>
    <d v="2021-04-08T00:00:00"/>
    <d v="2021-04-18T00:00:00"/>
    <d v="2021-09-28T00:00:00"/>
    <n v="83898.78"/>
    <x v="1"/>
    <n v="5"/>
    <n v="1"/>
    <n v="2021"/>
    <x v="1"/>
  </r>
  <r>
    <s v="CLM-10046"/>
    <d v="2020-05-07T00:00:00"/>
    <d v="2020-07-18T00:00:00"/>
    <d v="2021-02-05T00:00:00"/>
    <n v="33417.74"/>
    <x v="3"/>
    <n v="9"/>
    <n v="1"/>
    <n v="2021"/>
    <x v="0"/>
  </r>
  <r>
    <s v="CLM-10721"/>
    <d v="2022-05-11T00:00:00"/>
    <m/>
    <d v="2022-11-10T00:00:00"/>
    <n v="26165.02"/>
    <x v="2"/>
    <n v="6"/>
    <n v="1"/>
    <n v="2022"/>
    <x v="1"/>
  </r>
  <r>
    <s v="CLM-10527"/>
    <d v="2020-04-29T00:00:00"/>
    <d v="2020-06-28T00:00:00"/>
    <d v="2021-01-01T00:00:00"/>
    <n v="22658.61"/>
    <x v="3"/>
    <n v="9"/>
    <n v="1"/>
    <n v="2021"/>
    <x v="0"/>
  </r>
  <r>
    <s v="CLM-10637"/>
    <d v="2024-09-24T00:00:00"/>
    <d v="2024-11-28T00:00:00"/>
    <d v="2025-02-15T00:00:00"/>
    <n v="-6032.06"/>
    <x v="4"/>
    <n v="5"/>
    <n v="1"/>
    <n v="2025"/>
    <x v="0"/>
  </r>
  <r>
    <s v="CLM-10042"/>
    <d v="2020-07-23T00:00:00"/>
    <d v="2020-09-27T00:00:00"/>
    <d v="2021-04-22T00:00:00"/>
    <n v="56937.62"/>
    <x v="3"/>
    <n v="9"/>
    <n v="1"/>
    <n v="2021"/>
    <x v="0"/>
  </r>
  <r>
    <s v="CLM-10671"/>
    <d v="2022-12-18T00:00:00"/>
    <d v="2023-01-16T00:00:00"/>
    <d v="2023-05-06T00:00:00"/>
    <n v="41807.11"/>
    <x v="2"/>
    <n v="5"/>
    <n v="1"/>
    <n v="2023"/>
    <x v="0"/>
  </r>
  <r>
    <s v="CLM-10231"/>
    <d v="2021-01-02T00:00:00"/>
    <d v="2021-02-19T00:00:00"/>
    <d v="2021-10-15T00:00:00"/>
    <n v="21689.119999999999"/>
    <x v="1"/>
    <n v="9"/>
    <n v="1"/>
    <n v="2021"/>
    <x v="1"/>
  </r>
  <r>
    <s v="CLM-10384"/>
    <d v="2022-07-02T00:00:00"/>
    <d v="2022-08-08T00:00:00"/>
    <d v="2023-01-12T00:00:00"/>
    <n v="26300.32"/>
    <x v="2"/>
    <n v="6"/>
    <n v="1"/>
    <n v="2023"/>
    <x v="0"/>
  </r>
  <r>
    <s v="CLM-10712"/>
    <d v="2021-04-08T00:00:00"/>
    <d v="2021-04-18T00:00:00"/>
    <d v="2022-01-08T00:00:00"/>
    <n v="78333.88"/>
    <x v="1"/>
    <n v="9"/>
    <n v="1"/>
    <n v="2022"/>
    <x v="0"/>
  </r>
  <r>
    <s v="CLM-10396"/>
    <d v="2024-11-11T00:00:00"/>
    <d v="2024-11-28T00:00:00"/>
    <d v="2025-02-10T00:00:00"/>
    <n v="50044.58"/>
    <x v="4"/>
    <n v="3"/>
    <n v="1"/>
    <n v="2025"/>
    <x v="0"/>
  </r>
  <r>
    <s v="CLM-10128"/>
    <d v="2022-01-16T00:00:00"/>
    <d v="2022-01-26T00:00:00"/>
    <d v="2023-02-23T00:00:00"/>
    <n v="77630.22"/>
    <x v="2"/>
    <n v="13"/>
    <n v="2"/>
    <n v="2023"/>
    <x v="0"/>
  </r>
  <r>
    <s v="CLM-10139"/>
    <d v="2024-01-29T00:00:00"/>
    <d v="2024-02-27T00:00:00"/>
    <d v="2024-08-02T00:00:00"/>
    <n v="55913.919999999998"/>
    <x v="4"/>
    <n v="7"/>
    <n v="1"/>
    <n v="2024"/>
    <x v="1"/>
  </r>
  <r>
    <s v="CLM-10651"/>
    <d v="2023-02-21T00:00:00"/>
    <d v="2023-04-08T00:00:00"/>
    <d v="2024-05-22T00:00:00"/>
    <n v="-8090.47"/>
    <x v="0"/>
    <n v="15"/>
    <n v="2"/>
    <n v="2024"/>
    <x v="0"/>
  </r>
  <r>
    <s v="CLM-10646"/>
    <d v="2021-06-05T00:00:00"/>
    <d v="2021-08-10T00:00:00"/>
    <d v="2021-09-15T00:00:00"/>
    <n v="56446.96"/>
    <x v="1"/>
    <n v="3"/>
    <n v="1"/>
    <n v="2021"/>
    <x v="1"/>
  </r>
  <r>
    <s v="CLM-10735"/>
    <d v="2024-09-02T00:00:00"/>
    <d v="2024-10-21T00:00:00"/>
    <d v="2025-04-11T00:00:00"/>
    <n v="74731.63"/>
    <x v="4"/>
    <n v="7"/>
    <n v="1"/>
    <n v="2025"/>
    <x v="0"/>
  </r>
  <r>
    <s v="CLM-10110"/>
    <d v="2024-02-24T00:00:00"/>
    <d v="2024-04-23T00:00:00"/>
    <d v="2024-08-25T00:00:00"/>
    <n v="36231.440000000002"/>
    <x v="4"/>
    <n v="6"/>
    <n v="1"/>
    <n v="2024"/>
    <x v="1"/>
  </r>
  <r>
    <s v="CLM-10771"/>
    <d v="2022-08-19T00:00:00"/>
    <d v="2022-09-08T00:00:00"/>
    <d v="2023-08-25T00:00:00"/>
    <n v="20694.82"/>
    <x v="2"/>
    <n v="12"/>
    <n v="1"/>
    <n v="2023"/>
    <x v="0"/>
  </r>
  <r>
    <s v="CLM-10434"/>
    <d v="2022-06-13T00:00:00"/>
    <d v="2022-08-11T00:00:00"/>
    <d v="2023-02-28T00:00:00"/>
    <n v="3871.49"/>
    <x v="2"/>
    <n v="8"/>
    <n v="1"/>
    <n v="2023"/>
    <x v="0"/>
  </r>
  <r>
    <s v="CLM-10143"/>
    <d v="2023-08-12T00:00:00"/>
    <d v="2023-09-15T00:00:00"/>
    <d v="2024-03-20T00:00:00"/>
    <n v="35291.14"/>
    <x v="0"/>
    <n v="7"/>
    <n v="1"/>
    <n v="2024"/>
    <x v="0"/>
  </r>
  <r>
    <s v="CLM-10736"/>
    <d v="2021-11-10T00:00:00"/>
    <d v="2022-01-29T00:00:00"/>
    <d v="2023-05-28T00:00:00"/>
    <n v="16203.68"/>
    <x v="1"/>
    <n v="18"/>
    <n v="2"/>
    <n v="2023"/>
    <x v="2"/>
  </r>
  <r>
    <s v="CLM-10695"/>
    <d v="2023-05-05T00:00:00"/>
    <d v="2023-08-01T00:00:00"/>
    <d v="2023-09-02T00:00:00"/>
    <n v="23551.65"/>
    <x v="0"/>
    <n v="4"/>
    <n v="1"/>
    <n v="2023"/>
    <x v="1"/>
  </r>
  <r>
    <s v="CLM-10688"/>
    <d v="2020-01-02T00:00:00"/>
    <d v="2020-02-21T00:00:00"/>
    <d v="2020-12-27T00:00:00"/>
    <n v="9416.9500000000007"/>
    <x v="3"/>
    <n v="11"/>
    <n v="1"/>
    <n v="2020"/>
    <x v="1"/>
  </r>
  <r>
    <s v="CLM-10176"/>
    <d v="2023-10-06T00:00:00"/>
    <d v="2023-11-14T00:00:00"/>
    <d v="2024-07-22T00:00:00"/>
    <n v="22251.21"/>
    <x v="0"/>
    <n v="9"/>
    <n v="1"/>
    <n v="2024"/>
    <x v="0"/>
  </r>
  <r>
    <s v="CLM-10228"/>
    <d v="2020-02-22T00:00:00"/>
    <d v="2020-03-12T00:00:00"/>
    <d v="2020-09-28T00:00:00"/>
    <n v="13681.65"/>
    <x v="3"/>
    <n v="7"/>
    <n v="1"/>
    <n v="2020"/>
    <x v="1"/>
  </r>
  <r>
    <s v="CLM-10276"/>
    <d v="2022-06-03T00:00:00"/>
    <d v="2022-08-28T00:00:00"/>
    <d v="2022-11-18T00:00:00"/>
    <n v="5456.28"/>
    <x v="2"/>
    <n v="5"/>
    <n v="1"/>
    <n v="2022"/>
    <x v="1"/>
  </r>
  <r>
    <s v="CLM-10442"/>
    <d v="2024-07-27T00:00:00"/>
    <d v="2024-09-16T00:00:00"/>
    <d v="2025-03-16T00:00:00"/>
    <n v="8617.01"/>
    <x v="4"/>
    <n v="8"/>
    <n v="1"/>
    <n v="2025"/>
    <x v="0"/>
  </r>
  <r>
    <s v="CLM-10772"/>
    <d v="2022-08-10T00:00:00"/>
    <d v="2022-11-07T00:00:00"/>
    <d v="2023-02-19T00:00:00"/>
    <n v="80284.83"/>
    <x v="2"/>
    <n v="6"/>
    <n v="1"/>
    <n v="2023"/>
    <x v="0"/>
  </r>
  <r>
    <s v="CLM-10171"/>
    <d v="2021-09-13T00:00:00"/>
    <d v="2021-11-10T00:00:00"/>
    <d v="2022-08-16T00:00:00"/>
    <n v="78082.36"/>
    <x v="1"/>
    <n v="11"/>
    <n v="1"/>
    <n v="2022"/>
    <x v="0"/>
  </r>
  <r>
    <s v="CLM-10572"/>
    <d v="2022-01-05T00:00:00"/>
    <d v="2022-02-10T00:00:00"/>
    <d v="2022-08-20T00:00:00"/>
    <n v="66298.42"/>
    <x v="2"/>
    <n v="7"/>
    <n v="1"/>
    <n v="2022"/>
    <x v="1"/>
  </r>
  <r>
    <s v="CLM-10543"/>
    <d v="2024-10-06T00:00:00"/>
    <d v="2024-12-26T00:00:00"/>
    <d v="2025-03-16T00:00:00"/>
    <n v="53397.23"/>
    <x v="4"/>
    <n v="5"/>
    <n v="1"/>
    <n v="2025"/>
    <x v="0"/>
  </r>
  <r>
    <s v="CLM-10258"/>
    <d v="2022-09-21T00:00:00"/>
    <d v="2022-12-07T00:00:00"/>
    <d v="2023-01-26T00:00:00"/>
    <n v="52854.54"/>
    <x v="2"/>
    <n v="4"/>
    <n v="1"/>
    <n v="2023"/>
    <x v="0"/>
  </r>
  <r>
    <s v="CLM-10707"/>
    <d v="2020-02-20T00:00:00"/>
    <d v="2020-04-20T00:00:00"/>
    <d v="2020-11-04T00:00:00"/>
    <n v="-18997.849999999999"/>
    <x v="3"/>
    <n v="9"/>
    <n v="1"/>
    <n v="2020"/>
    <x v="1"/>
  </r>
  <r>
    <s v="CLM-10620"/>
    <d v="2024-02-20T00:00:00"/>
    <d v="2024-05-19T00:00:00"/>
    <d v="2024-12-08T00:00:00"/>
    <n v="47557.62"/>
    <x v="4"/>
    <n v="10"/>
    <n v="1"/>
    <n v="2024"/>
    <x v="1"/>
  </r>
  <r>
    <s v="CLM-10046"/>
    <d v="2020-05-07T00:00:00"/>
    <d v="2020-07-18T00:00:00"/>
    <d v="2021-08-25T00:00:00"/>
    <n v="64228.56"/>
    <x v="3"/>
    <n v="15"/>
    <n v="2"/>
    <n v="2021"/>
    <x v="0"/>
  </r>
  <r>
    <s v="CLM-10710"/>
    <d v="2021-03-15T00:00:00"/>
    <d v="2021-05-31T00:00:00"/>
    <d v="2022-03-01T00:00:00"/>
    <n v="77456.34"/>
    <x v="1"/>
    <n v="12"/>
    <n v="1"/>
    <n v="2022"/>
    <x v="0"/>
  </r>
  <r>
    <s v="CLM-10524"/>
    <d v="2021-07-10T00:00:00"/>
    <d v="2021-08-06T00:00:00"/>
    <d v="2023-01-13T00:00:00"/>
    <n v="78607.28"/>
    <x v="1"/>
    <n v="18"/>
    <n v="2"/>
    <n v="2023"/>
    <x v="2"/>
  </r>
  <r>
    <s v="CLM-10744"/>
    <d v="2020-01-22T00:00:00"/>
    <d v="2020-03-10T00:00:00"/>
    <d v="2020-09-24T00:00:00"/>
    <n v="46447.76"/>
    <x v="3"/>
    <n v="8"/>
    <n v="1"/>
    <n v="2020"/>
    <x v="1"/>
  </r>
  <r>
    <s v="CLM-10683"/>
    <d v="2021-08-10T00:00:00"/>
    <d v="2021-09-20T00:00:00"/>
    <d v="2022-04-15T00:00:00"/>
    <n v="2865.1"/>
    <x v="1"/>
    <n v="8"/>
    <n v="1"/>
    <n v="2022"/>
    <x v="0"/>
  </r>
  <r>
    <s v="CLM-10621"/>
    <d v="2020-01-13T00:00:00"/>
    <d v="2020-03-06T00:00:00"/>
    <d v="2020-07-19T00:00:00"/>
    <n v="34514.21"/>
    <x v="3"/>
    <n v="6"/>
    <n v="1"/>
    <n v="2020"/>
    <x v="1"/>
  </r>
  <r>
    <s v="CLM-10435"/>
    <d v="2024-07-25T00:00:00"/>
    <d v="2024-08-21T00:00:00"/>
    <d v="2024-10-29T00:00:00"/>
    <n v="8978.64"/>
    <x v="4"/>
    <n v="3"/>
    <n v="1"/>
    <n v="2024"/>
    <x v="1"/>
  </r>
  <r>
    <s v="CLM-10530"/>
    <d v="2022-10-23T00:00:00"/>
    <d v="2022-12-13T00:00:00"/>
    <d v="2023-07-16T00:00:00"/>
    <n v="42860.21"/>
    <x v="2"/>
    <n v="9"/>
    <n v="1"/>
    <n v="2023"/>
    <x v="0"/>
  </r>
  <r>
    <s v="CLM-10127"/>
    <d v="2023-07-03T00:00:00"/>
    <d v="2023-07-11T00:00:00"/>
    <d v="2024-08-16T00:00:00"/>
    <n v="18611.990000000002"/>
    <x v="0"/>
    <n v="13"/>
    <n v="2"/>
    <n v="2024"/>
    <x v="0"/>
  </r>
  <r>
    <s v="CLM-10279"/>
    <d v="2023-10-19T00:00:00"/>
    <d v="2023-12-06T00:00:00"/>
    <d v="2024-04-24T00:00:00"/>
    <n v="79226.41"/>
    <x v="0"/>
    <n v="6"/>
    <n v="1"/>
    <n v="2024"/>
    <x v="0"/>
  </r>
  <r>
    <s v="CLM-10292"/>
    <d v="2020-04-20T00:00:00"/>
    <d v="2020-05-25T00:00:00"/>
    <d v="2022-07-22T00:00:00"/>
    <n v="29728.32"/>
    <x v="3"/>
    <n v="27"/>
    <n v="3"/>
    <n v="2022"/>
    <x v="2"/>
  </r>
  <r>
    <s v="CLM-10215"/>
    <d v="2022-05-18T00:00:00"/>
    <d v="2022-06-05T00:00:00"/>
    <d v="2022-09-04T00:00:00"/>
    <n v="11413.08"/>
    <x v="2"/>
    <n v="4"/>
    <n v="1"/>
    <n v="2022"/>
    <x v="1"/>
  </r>
  <r>
    <s v="CLM-10020"/>
    <d v="2024-05-09T00:00:00"/>
    <d v="2024-07-13T00:00:00"/>
    <d v="2024-12-22T00:00:00"/>
    <n v="51434.41"/>
    <x v="4"/>
    <n v="7"/>
    <n v="1"/>
    <n v="2024"/>
    <x v="1"/>
  </r>
  <r>
    <s v="CLM-10111"/>
    <d v="2020-11-05T00:00:00"/>
    <d v="2020-11-09T00:00:00"/>
    <d v="2021-08-20T00:00:00"/>
    <n v="18620.96"/>
    <x v="3"/>
    <n v="9"/>
    <n v="1"/>
    <n v="2021"/>
    <x v="0"/>
  </r>
  <r>
    <s v="CLM-10746"/>
    <d v="2024-05-04T00:00:00"/>
    <d v="2024-05-28T00:00:00"/>
    <d v="2024-10-13T00:00:00"/>
    <n v="41660.980000000003"/>
    <x v="4"/>
    <n v="5"/>
    <n v="1"/>
    <n v="2024"/>
    <x v="1"/>
  </r>
  <r>
    <s v="CLM-10743"/>
    <d v="2023-05-19T00:00:00"/>
    <d v="2023-08-15T00:00:00"/>
    <d v="2024-10-08T00:00:00"/>
    <n v="4063.87"/>
    <x v="0"/>
    <n v="17"/>
    <n v="2"/>
    <n v="2024"/>
    <x v="0"/>
  </r>
  <r>
    <s v="CLM-10328"/>
    <d v="2024-10-02T00:00:00"/>
    <d v="2024-11-16T00:00:00"/>
    <d v="2024-12-26T00:00:00"/>
    <n v="78385.83"/>
    <x v="4"/>
    <n v="2"/>
    <n v="1"/>
    <n v="2024"/>
    <x v="1"/>
  </r>
  <r>
    <s v="CLM-10237"/>
    <d v="2024-04-20T00:00:00"/>
    <d v="2024-05-30T00:00:00"/>
    <d v="2025-01-10T00:00:00"/>
    <n v="78198.61"/>
    <x v="4"/>
    <n v="9"/>
    <n v="1"/>
    <n v="2025"/>
    <x v="0"/>
  </r>
  <r>
    <s v="CLM-10693"/>
    <d v="2024-03-20T00:00:00"/>
    <d v="2024-03-24T00:00:00"/>
    <d v="2024-08-13T00:00:00"/>
    <n v="25326.53"/>
    <x v="4"/>
    <n v="5"/>
    <n v="1"/>
    <n v="2024"/>
    <x v="1"/>
  </r>
  <r>
    <s v="CLM-10636"/>
    <d v="2023-03-31T00:00:00"/>
    <d v="2023-05-03T00:00:00"/>
    <d v="2023-10-06T00:00:00"/>
    <n v="68713.56"/>
    <x v="0"/>
    <n v="7"/>
    <n v="1"/>
    <n v="2023"/>
    <x v="1"/>
  </r>
  <r>
    <s v="CLM-10347"/>
    <d v="2022-05-24T00:00:00"/>
    <d v="2022-07-31T00:00:00"/>
    <d v="2022-10-02T00:00:00"/>
    <n v="41538.089999999997"/>
    <x v="2"/>
    <n v="5"/>
    <n v="1"/>
    <n v="2022"/>
    <x v="1"/>
  </r>
  <r>
    <s v="CLM-10685"/>
    <d v="2020-03-16T00:00:00"/>
    <d v="2020-03-17T00:00:00"/>
    <d v="2021-05-12T00:00:00"/>
    <n v="11029.61"/>
    <x v="3"/>
    <n v="14"/>
    <n v="2"/>
    <n v="2021"/>
    <x v="0"/>
  </r>
  <r>
    <s v="CLM-10711"/>
    <d v="2023-08-15T00:00:00"/>
    <d v="2023-08-27T00:00:00"/>
    <d v="2024-02-03T00:00:00"/>
    <n v="80339.44"/>
    <x v="0"/>
    <n v="6"/>
    <n v="1"/>
    <n v="2024"/>
    <x v="0"/>
  </r>
  <r>
    <s v="CLM-10530"/>
    <d v="2022-10-23T00:00:00"/>
    <d v="2022-12-13T00:00:00"/>
    <d v="2023-02-03T00:00:00"/>
    <n v="62147.53"/>
    <x v="2"/>
    <n v="4"/>
    <n v="1"/>
    <n v="2023"/>
    <x v="0"/>
  </r>
  <r>
    <s v="CLM-10413"/>
    <d v="2022-01-25T00:00:00"/>
    <d v="2022-02-14T00:00:00"/>
    <d v="2022-05-18T00:00:00"/>
    <n v="81562.2"/>
    <x v="2"/>
    <n v="4"/>
    <n v="1"/>
    <n v="2022"/>
    <x v="1"/>
  </r>
  <r>
    <s v="CLM-10069"/>
    <d v="2022-06-08T00:00:00"/>
    <d v="2022-06-14T00:00:00"/>
    <d v="2022-09-22T00:00:00"/>
    <n v="37308.31"/>
    <x v="2"/>
    <n v="3"/>
    <n v="1"/>
    <n v="2022"/>
    <x v="1"/>
  </r>
  <r>
    <s v="CLM-10325"/>
    <d v="2023-06-18T00:00:00"/>
    <d v="2023-08-06T00:00:00"/>
    <d v="2023-10-19T00:00:00"/>
    <n v="12087.45"/>
    <x v="0"/>
    <n v="4"/>
    <n v="1"/>
    <n v="2023"/>
    <x v="1"/>
  </r>
  <r>
    <s v="CLM-10152"/>
    <d v="2021-03-28T00:00:00"/>
    <d v="2021-04-15T00:00:00"/>
    <d v="2022-01-12T00:00:00"/>
    <n v="-13296.38"/>
    <x v="1"/>
    <n v="10"/>
    <n v="1"/>
    <n v="2022"/>
    <x v="0"/>
  </r>
  <r>
    <s v="CLM-10413"/>
    <d v="2022-01-25T00:00:00"/>
    <d v="2022-02-14T00:00:00"/>
    <d v="2022-09-30T00:00:00"/>
    <n v="71577.919999999998"/>
    <x v="2"/>
    <n v="8"/>
    <n v="1"/>
    <n v="2022"/>
    <x v="1"/>
  </r>
  <r>
    <s v="CLM-10041"/>
    <d v="2023-01-01T00:00:00"/>
    <d v="2023-02-09T00:00:00"/>
    <d v="2023-07-02T00:00:00"/>
    <n v="64011.07"/>
    <x v="0"/>
    <n v="6"/>
    <n v="1"/>
    <n v="2023"/>
    <x v="1"/>
  </r>
  <r>
    <s v="CLM-10151"/>
    <d v="2022-07-14T00:00:00"/>
    <d v="2022-09-25T00:00:00"/>
    <d v="2023-01-31T00:00:00"/>
    <n v="65292.86"/>
    <x v="2"/>
    <n v="6"/>
    <n v="1"/>
    <n v="2023"/>
    <x v="0"/>
  </r>
  <r>
    <s v="CLM-10502"/>
    <d v="2021-03-22T00:00:00"/>
    <d v="2021-05-05T00:00:00"/>
    <d v="2021-12-16T00:00:00"/>
    <n v="81080.5"/>
    <x v="1"/>
    <n v="9"/>
    <n v="1"/>
    <n v="2021"/>
    <x v="1"/>
  </r>
  <r>
    <s v="CLM-10783"/>
    <d v="2023-05-31T00:00:00"/>
    <d v="2023-07-12T00:00:00"/>
    <d v="2025-05-24T00:00:00"/>
    <n v="43255.77"/>
    <x v="0"/>
    <n v="24"/>
    <n v="2"/>
    <n v="2025"/>
    <x v="2"/>
  </r>
  <r>
    <s v="CLM-10758"/>
    <d v="2021-01-31T00:00:00"/>
    <d v="2021-03-23T00:00:00"/>
    <d v="2022-10-16T00:00:00"/>
    <n v="11698.55"/>
    <x v="1"/>
    <n v="21"/>
    <n v="2"/>
    <n v="2022"/>
    <x v="0"/>
  </r>
  <r>
    <s v="CLM-10604"/>
    <d v="2021-06-20T00:00:00"/>
    <d v="2021-09-11T00:00:00"/>
    <d v="2022-01-27T00:00:00"/>
    <n v="59559.45"/>
    <x v="1"/>
    <n v="7"/>
    <n v="1"/>
    <n v="2022"/>
    <x v="0"/>
  </r>
  <r>
    <s v="CLM-10354"/>
    <d v="2022-12-21T00:00:00"/>
    <d v="2022-12-23T00:00:00"/>
    <d v="2024-04-17T00:00:00"/>
    <n v="77254.39"/>
    <x v="2"/>
    <n v="16"/>
    <n v="2"/>
    <n v="2024"/>
    <x v="2"/>
  </r>
  <r>
    <s v="CLM-10248"/>
    <d v="2023-10-17T00:00:00"/>
    <d v="2023-12-17T00:00:00"/>
    <d v="2025-04-04T00:00:00"/>
    <n v="12147.43"/>
    <x v="0"/>
    <n v="18"/>
    <n v="2"/>
    <n v="2025"/>
    <x v="2"/>
  </r>
  <r>
    <s v="CLM-10252"/>
    <d v="2022-08-02T00:00:00"/>
    <d v="2022-10-01T00:00:00"/>
    <d v="2023-09-07T00:00:00"/>
    <n v="62811.8"/>
    <x v="2"/>
    <n v="13"/>
    <n v="2"/>
    <n v="2023"/>
    <x v="0"/>
  </r>
  <r>
    <s v="CLM-10136"/>
    <d v="2024-05-01T00:00:00"/>
    <d v="2024-06-03T00:00:00"/>
    <d v="2025-02-24T00:00:00"/>
    <n v="63118.33"/>
    <x v="4"/>
    <n v="9"/>
    <n v="1"/>
    <n v="2025"/>
    <x v="0"/>
  </r>
  <r>
    <s v="CLM-10644"/>
    <d v="2023-02-01T00:00:00"/>
    <d v="2023-02-17T00:00:00"/>
    <d v="2024-05-18T00:00:00"/>
    <n v="61390"/>
    <x v="0"/>
    <n v="15"/>
    <n v="2"/>
    <n v="2024"/>
    <x v="0"/>
  </r>
  <r>
    <s v="CLM-10273"/>
    <d v="2023-04-03T00:00:00"/>
    <d v="2023-06-24T00:00:00"/>
    <d v="2023-07-28T00:00:00"/>
    <n v="3542.48"/>
    <x v="0"/>
    <n v="3"/>
    <n v="1"/>
    <n v="2023"/>
    <x v="1"/>
  </r>
  <r>
    <s v="CLM-10434"/>
    <d v="2022-06-13T00:00:00"/>
    <d v="2022-08-11T00:00:00"/>
    <d v="2022-09-05T00:00:00"/>
    <n v="-10798.3"/>
    <x v="2"/>
    <n v="3"/>
    <n v="1"/>
    <n v="2022"/>
    <x v="1"/>
  </r>
  <r>
    <s v="CLM-10023"/>
    <d v="2021-07-05T00:00:00"/>
    <d v="2021-07-16T00:00:00"/>
    <d v="2021-08-11T00:00:00"/>
    <n v="67754.73"/>
    <x v="1"/>
    <n v="1"/>
    <n v="1"/>
    <n v="2021"/>
    <x v="1"/>
  </r>
  <r>
    <s v="CLM-10411"/>
    <d v="2020-05-25T00:00:00"/>
    <m/>
    <d v="2021-02-09T00:00:00"/>
    <n v="16951.52"/>
    <x v="3"/>
    <n v="9"/>
    <n v="1"/>
    <n v="2021"/>
    <x v="0"/>
  </r>
  <r>
    <s v="CLM-10480"/>
    <d v="2020-05-23T00:00:00"/>
    <d v="2020-06-17T00:00:00"/>
    <d v="2021-01-05T00:00:00"/>
    <n v="-14643.33"/>
    <x v="3"/>
    <n v="8"/>
    <n v="1"/>
    <n v="2021"/>
    <x v="0"/>
  </r>
  <r>
    <s v="CLM-10106"/>
    <d v="2021-12-04T00:00:00"/>
    <d v="2022-01-01T00:00:00"/>
    <d v="2022-06-29T00:00:00"/>
    <n v="23154.03"/>
    <x v="1"/>
    <n v="6"/>
    <n v="1"/>
    <n v="2022"/>
    <x v="0"/>
  </r>
  <r>
    <s v="CLM-10499"/>
    <d v="2023-01-08T00:00:00"/>
    <d v="2023-03-19T00:00:00"/>
    <d v="2024-07-22T00:00:00"/>
    <n v="70024.59"/>
    <x v="0"/>
    <n v="18"/>
    <n v="2"/>
    <n v="2024"/>
    <x v="0"/>
  </r>
  <r>
    <s v="CLM-10194"/>
    <d v="2024-08-10T00:00:00"/>
    <d v="2024-08-16T00:00:00"/>
    <d v="2025-01-29T00:00:00"/>
    <n v="36646.959999999999"/>
    <x v="4"/>
    <n v="5"/>
    <n v="1"/>
    <n v="2025"/>
    <x v="0"/>
  </r>
  <r>
    <s v="CLM-10320"/>
    <d v="2021-06-30T00:00:00"/>
    <d v="2021-07-13T00:00:00"/>
    <d v="2021-12-21T00:00:00"/>
    <n v="41303.269999999997"/>
    <x v="1"/>
    <n v="6"/>
    <n v="1"/>
    <n v="2021"/>
    <x v="1"/>
  </r>
  <r>
    <s v="CLM-10436"/>
    <d v="2023-05-21T00:00:00"/>
    <d v="2023-07-01T00:00:00"/>
    <d v="2024-05-20T00:00:00"/>
    <n v="62557.78"/>
    <x v="0"/>
    <n v="12"/>
    <n v="1"/>
    <n v="2024"/>
    <x v="0"/>
  </r>
  <r>
    <s v="CLM-10317"/>
    <d v="2022-04-02T00:00:00"/>
    <d v="2022-05-07T00:00:00"/>
    <d v="2022-10-02T00:00:00"/>
    <n v="9763.5499999999993"/>
    <x v="2"/>
    <n v="6"/>
    <n v="1"/>
    <n v="2022"/>
    <x v="1"/>
  </r>
  <r>
    <s v="CLM-10409"/>
    <d v="2021-12-02T00:00:00"/>
    <d v="2022-02-15T00:00:00"/>
    <d v="2022-07-26T00:00:00"/>
    <n v="81166.960000000006"/>
    <x v="1"/>
    <n v="7"/>
    <n v="1"/>
    <n v="2022"/>
    <x v="0"/>
  </r>
  <r>
    <s v="CLM-10456"/>
    <d v="2021-11-29T00:00:00"/>
    <d v="2021-12-08T00:00:00"/>
    <d v="2022-03-22T00:00:00"/>
    <n v="32261.47"/>
    <x v="1"/>
    <n v="4"/>
    <n v="1"/>
    <n v="2022"/>
    <x v="0"/>
  </r>
  <r>
    <s v="CLM-10083"/>
    <d v="2024-08-13T00:00:00"/>
    <d v="2024-09-09T00:00:00"/>
    <d v="2025-03-10T00:00:00"/>
    <n v="42280.3"/>
    <x v="4"/>
    <n v="7"/>
    <n v="1"/>
    <n v="2025"/>
    <x v="0"/>
  </r>
  <r>
    <s v="CLM-10352"/>
    <d v="2021-03-05T00:00:00"/>
    <d v="2021-04-15T00:00:00"/>
    <d v="2021-06-25T00:00:00"/>
    <n v="28791.99"/>
    <x v="1"/>
    <n v="3"/>
    <n v="1"/>
    <n v="2021"/>
    <x v="1"/>
  </r>
  <r>
    <s v="CLM-10744"/>
    <d v="2020-01-22T00:00:00"/>
    <d v="2020-03-10T00:00:00"/>
    <d v="2020-04-21T00:00:00"/>
    <n v="2291.02"/>
    <x v="3"/>
    <n v="3"/>
    <n v="1"/>
    <n v="2020"/>
    <x v="1"/>
  </r>
  <r>
    <s v="CLM-10221"/>
    <d v="2022-02-14T00:00:00"/>
    <d v="2022-04-25T00:00:00"/>
    <d v="2022-07-02T00:00:00"/>
    <n v="25643.51"/>
    <x v="2"/>
    <n v="5"/>
    <n v="1"/>
    <n v="2022"/>
    <x v="1"/>
  </r>
  <r>
    <s v="CLM-10224"/>
    <d v="2020-11-06T00:00:00"/>
    <d v="2021-01-11T00:00:00"/>
    <d v="2022-01-15T00:00:00"/>
    <n v="63442.55"/>
    <x v="3"/>
    <n v="14"/>
    <n v="2"/>
    <n v="2022"/>
    <x v="2"/>
  </r>
  <r>
    <s v="CLM-10338"/>
    <d v="2021-07-24T00:00:00"/>
    <d v="2021-08-15T00:00:00"/>
    <d v="2022-06-10T00:00:00"/>
    <n v="32610.99"/>
    <x v="1"/>
    <n v="11"/>
    <n v="1"/>
    <n v="2022"/>
    <x v="0"/>
  </r>
  <r>
    <s v="CLM-10270"/>
    <d v="2023-06-06T00:00:00"/>
    <d v="2023-08-19T00:00:00"/>
    <d v="2023-10-27T00:00:00"/>
    <n v="63304.95"/>
    <x v="0"/>
    <n v="4"/>
    <n v="1"/>
    <n v="2023"/>
    <x v="1"/>
  </r>
  <r>
    <s v="CLM-10125"/>
    <d v="2021-02-23T00:00:00"/>
    <d v="2021-02-24T00:00:00"/>
    <d v="2021-11-10T00:00:00"/>
    <n v="48869.16"/>
    <x v="1"/>
    <n v="9"/>
    <n v="1"/>
    <n v="2021"/>
    <x v="1"/>
  </r>
  <r>
    <s v="CLM-10200"/>
    <d v="2020-01-10T00:00:00"/>
    <d v="2020-02-20T00:00:00"/>
    <d v="2020-05-15T00:00:00"/>
    <n v="-23581.24"/>
    <x v="3"/>
    <n v="4"/>
    <n v="1"/>
    <n v="2020"/>
    <x v="1"/>
  </r>
  <r>
    <s v="CLM-10578"/>
    <d v="2023-04-08T00:00:00"/>
    <m/>
    <d v="2023-08-05T00:00:00"/>
    <n v="74194.429999999993"/>
    <x v="0"/>
    <n v="4"/>
    <n v="1"/>
    <n v="2023"/>
    <x v="1"/>
  </r>
  <r>
    <s v="CLM-10674"/>
    <d v="2024-02-22T00:00:00"/>
    <d v="2024-04-09T00:00:00"/>
    <d v="2024-08-22T00:00:00"/>
    <n v="29075.119999999999"/>
    <x v="4"/>
    <n v="6"/>
    <n v="1"/>
    <n v="2024"/>
    <x v="1"/>
  </r>
  <r>
    <s v="CLM-10758"/>
    <d v="2021-01-31T00:00:00"/>
    <d v="2021-03-23T00:00:00"/>
    <d v="2022-04-14T00:00:00"/>
    <n v="2787.3"/>
    <x v="1"/>
    <n v="15"/>
    <n v="2"/>
    <n v="2022"/>
    <x v="0"/>
  </r>
  <r>
    <s v="CLM-10030"/>
    <d v="2023-06-22T00:00:00"/>
    <d v="2023-07-19T00:00:00"/>
    <d v="2023-09-21T00:00:00"/>
    <n v="66076.149999999994"/>
    <x v="0"/>
    <n v="3"/>
    <n v="1"/>
    <n v="2023"/>
    <x v="1"/>
  </r>
  <r>
    <s v="CLM-10004"/>
    <d v="2023-06-08T00:00:00"/>
    <d v="2023-07-08T00:00:00"/>
    <d v="2024-03-17T00:00:00"/>
    <n v="12300.33"/>
    <x v="0"/>
    <n v="9"/>
    <n v="1"/>
    <n v="2024"/>
    <x v="0"/>
  </r>
  <r>
    <s v="CLM-10712"/>
    <d v="2021-04-08T00:00:00"/>
    <d v="2021-04-18T00:00:00"/>
    <d v="2021-03-28T00:00:00"/>
    <n v="50647.06"/>
    <x v="1"/>
    <n v="-1"/>
    <n v="0"/>
    <n v="2021"/>
    <x v="1"/>
  </r>
  <r>
    <s v="CLM-10143"/>
    <d v="2023-08-12T00:00:00"/>
    <d v="2023-09-15T00:00:00"/>
    <d v="2025-03-13T00:00:00"/>
    <n v="-7822.91"/>
    <x v="0"/>
    <n v="19"/>
    <n v="2"/>
    <n v="2025"/>
    <x v="2"/>
  </r>
  <r>
    <s v="CLM-10574"/>
    <d v="2023-10-04T00:00:00"/>
    <d v="2023-10-24T00:00:00"/>
    <d v="2024-03-31T00:00:00"/>
    <n v="74026.539999999994"/>
    <x v="0"/>
    <n v="5"/>
    <n v="1"/>
    <n v="2024"/>
    <x v="0"/>
  </r>
  <r>
    <s v="CLM-10415"/>
    <d v="2021-08-30T00:00:00"/>
    <d v="2021-11-09T00:00:00"/>
    <d v="2023-05-23T00:00:00"/>
    <n v="40000.94"/>
    <x v="1"/>
    <n v="21"/>
    <n v="2"/>
    <n v="2023"/>
    <x v="2"/>
  </r>
  <r>
    <s v="CLM-10572"/>
    <d v="2022-01-05T00:00:00"/>
    <d v="2022-02-10T00:00:00"/>
    <d v="2022-11-01T00:00:00"/>
    <n v="-15661.26"/>
    <x v="2"/>
    <n v="10"/>
    <n v="1"/>
    <n v="2022"/>
    <x v="1"/>
  </r>
  <r>
    <s v="CLM-10421"/>
    <d v="2021-02-14T00:00:00"/>
    <d v="2021-03-17T00:00:00"/>
    <d v="2022-03-18T00:00:00"/>
    <n v="-19707.95"/>
    <x v="1"/>
    <n v="13"/>
    <n v="2"/>
    <n v="2022"/>
    <x v="0"/>
  </r>
  <r>
    <s v="CLM-10133"/>
    <d v="2023-07-29T00:00:00"/>
    <d v="2023-10-10T00:00:00"/>
    <d v="2024-03-04T00:00:00"/>
    <n v="33721.620000000003"/>
    <x v="0"/>
    <n v="8"/>
    <n v="1"/>
    <n v="2024"/>
    <x v="0"/>
  </r>
  <r>
    <s v="CLM-10375"/>
    <d v="2021-01-24T00:00:00"/>
    <d v="2021-04-03T00:00:00"/>
    <d v="2021-08-27T00:00:00"/>
    <n v="74771.95"/>
    <x v="1"/>
    <n v="7"/>
    <n v="1"/>
    <n v="2021"/>
    <x v="1"/>
  </r>
  <r>
    <s v="CLM-10233"/>
    <d v="2020-07-08T00:00:00"/>
    <d v="2020-08-20T00:00:00"/>
    <d v="2021-02-25T00:00:00"/>
    <n v="42765.9"/>
    <x v="3"/>
    <n v="7"/>
    <n v="1"/>
    <n v="2021"/>
    <x v="0"/>
  </r>
  <r>
    <s v="CLM-10786"/>
    <d v="2023-02-07T00:00:00"/>
    <d v="2023-04-13T00:00:00"/>
    <d v="2024-10-01T00:00:00"/>
    <n v="49350.81"/>
    <x v="0"/>
    <n v="20"/>
    <n v="2"/>
    <n v="2024"/>
    <x v="0"/>
  </r>
  <r>
    <s v="CLM-10199"/>
    <d v="2021-11-26T00:00:00"/>
    <m/>
    <d v="2022-08-08T00:00:00"/>
    <n v="11593.64"/>
    <x v="1"/>
    <n v="9"/>
    <n v="1"/>
    <n v="2022"/>
    <x v="0"/>
  </r>
  <r>
    <s v="CLM-10577"/>
    <d v="2020-09-26T00:00:00"/>
    <d v="2020-12-22T00:00:00"/>
    <d v="2021-06-17T00:00:00"/>
    <n v="54946.79"/>
    <x v="3"/>
    <n v="9"/>
    <n v="1"/>
    <n v="2021"/>
    <x v="0"/>
  </r>
  <r>
    <s v="CLM-10647"/>
    <d v="2023-10-11T00:00:00"/>
    <d v="2023-12-29T00:00:00"/>
    <d v="2024-02-11T00:00:00"/>
    <n v="46725.05"/>
    <x v="0"/>
    <n v="4"/>
    <n v="1"/>
    <n v="2024"/>
    <x v="0"/>
  </r>
  <r>
    <s v="CLM-10703"/>
    <d v="2020-11-03T00:00:00"/>
    <d v="2021-01-20T00:00:00"/>
    <d v="2021-10-04T00:00:00"/>
    <n v="24355.71"/>
    <x v="3"/>
    <n v="11"/>
    <n v="1"/>
    <n v="2021"/>
    <x v="0"/>
  </r>
  <r>
    <s v="CLM-10234"/>
    <d v="2023-07-23T00:00:00"/>
    <d v="2023-09-20T00:00:00"/>
    <d v="2024-09-30T00:00:00"/>
    <n v="45040.38"/>
    <x v="0"/>
    <n v="14"/>
    <n v="2"/>
    <n v="2024"/>
    <x v="0"/>
  </r>
  <r>
    <s v="CLM-10702"/>
    <d v="2022-07-14T00:00:00"/>
    <d v="2022-07-29T00:00:00"/>
    <d v="2023-05-18T00:00:00"/>
    <n v="22952.48"/>
    <x v="2"/>
    <n v="10"/>
    <n v="1"/>
    <n v="2023"/>
    <x v="0"/>
  </r>
  <r>
    <s v="CLM-10199"/>
    <d v="2021-11-26T00:00:00"/>
    <m/>
    <d v="2022-06-08T00:00:00"/>
    <n v="71367.98"/>
    <x v="1"/>
    <n v="7"/>
    <n v="1"/>
    <n v="2022"/>
    <x v="0"/>
  </r>
  <r>
    <s v="CLM-10445"/>
    <d v="2021-07-18T00:00:00"/>
    <d v="2021-08-18T00:00:00"/>
    <d v="2022-01-22T00:00:00"/>
    <n v="70363.53"/>
    <x v="1"/>
    <n v="6"/>
    <n v="1"/>
    <n v="2022"/>
    <x v="0"/>
  </r>
  <r>
    <s v="CLM-10478"/>
    <d v="2020-09-23T00:00:00"/>
    <d v="2020-12-14T00:00:00"/>
    <d v="2021-06-19T00:00:00"/>
    <n v="10789.03"/>
    <x v="3"/>
    <n v="9"/>
    <n v="1"/>
    <n v="2021"/>
    <x v="0"/>
  </r>
  <r>
    <s v="CLM-10193"/>
    <d v="2023-03-03T00:00:00"/>
    <d v="2023-05-29T00:00:00"/>
    <d v="2024-06-04T00:00:00"/>
    <n v="74893.320000000007"/>
    <x v="0"/>
    <n v="15"/>
    <n v="2"/>
    <n v="2024"/>
    <x v="0"/>
  </r>
  <r>
    <s v="CLM-10168"/>
    <d v="2023-07-28T00:00:00"/>
    <d v="2023-08-10T00:00:00"/>
    <d v="2023-10-28T00:00:00"/>
    <n v="61988.09"/>
    <x v="0"/>
    <n v="3"/>
    <n v="1"/>
    <n v="2023"/>
    <x v="1"/>
  </r>
  <r>
    <s v="CLM-10421"/>
    <d v="2021-02-14T00:00:00"/>
    <d v="2021-03-17T00:00:00"/>
    <d v="2022-06-20T00:00:00"/>
    <n v="-14425.76"/>
    <x v="1"/>
    <n v="16"/>
    <n v="2"/>
    <n v="2022"/>
    <x v="0"/>
  </r>
  <r>
    <s v="CLM-10227"/>
    <d v="2023-10-02T00:00:00"/>
    <m/>
    <d v="2024-02-19T00:00:00"/>
    <n v="4246.5200000000004"/>
    <x v="0"/>
    <n v="4"/>
    <n v="1"/>
    <n v="2024"/>
    <x v="0"/>
  </r>
  <r>
    <s v="CLM-10114"/>
    <d v="2022-11-15T00:00:00"/>
    <d v="2023-01-03T00:00:00"/>
    <d v="2023-03-10T00:00:00"/>
    <n v="3496.83"/>
    <x v="2"/>
    <n v="4"/>
    <n v="1"/>
    <n v="2023"/>
    <x v="0"/>
  </r>
  <r>
    <s v="CLM-10487"/>
    <d v="2021-03-17T00:00:00"/>
    <d v="2021-05-22T00:00:00"/>
    <d v="2022-06-29T00:00:00"/>
    <n v="69414.289999999994"/>
    <x v="1"/>
    <n v="15"/>
    <n v="2"/>
    <n v="2022"/>
    <x v="0"/>
  </r>
  <r>
    <s v="CLM-10018"/>
    <d v="2024-08-07T00:00:00"/>
    <d v="2024-10-08T00:00:00"/>
    <d v="2025-03-28T00:00:00"/>
    <n v="-16088.66"/>
    <x v="4"/>
    <n v="7"/>
    <n v="1"/>
    <n v="2025"/>
    <x v="0"/>
  </r>
  <r>
    <s v="CLM-10086"/>
    <d v="2023-08-01T00:00:00"/>
    <d v="2023-10-18T00:00:00"/>
    <d v="2024-09-12T00:00:00"/>
    <n v="-23447.88"/>
    <x v="0"/>
    <n v="13"/>
    <n v="2"/>
    <n v="2024"/>
    <x v="0"/>
  </r>
  <r>
    <s v="CLM-10017"/>
    <d v="2022-07-26T00:00:00"/>
    <m/>
    <d v="2022-12-16T00:00:00"/>
    <n v="66682.850000000006"/>
    <x v="2"/>
    <n v="5"/>
    <n v="1"/>
    <n v="2022"/>
    <x v="1"/>
  </r>
  <r>
    <s v="CLM-10171"/>
    <d v="2021-09-13T00:00:00"/>
    <d v="2021-11-10T00:00:00"/>
    <d v="2022-11-29T00:00:00"/>
    <n v="64205.36"/>
    <x v="1"/>
    <n v="14"/>
    <n v="2"/>
    <n v="2022"/>
    <x v="0"/>
  </r>
  <r>
    <s v="CLM-10711"/>
    <d v="2023-08-15T00:00:00"/>
    <d v="2023-08-27T00:00:00"/>
    <d v="2024-09-22T00:00:00"/>
    <n v="57277.42"/>
    <x v="0"/>
    <n v="13"/>
    <n v="2"/>
    <n v="2024"/>
    <x v="0"/>
  </r>
  <r>
    <s v="CLM-10528"/>
    <d v="2024-12-01T00:00:00"/>
    <d v="2025-01-02T00:00:00"/>
    <d v="2025-01-19T00:00:00"/>
    <n v="62617.08"/>
    <x v="4"/>
    <n v="1"/>
    <n v="1"/>
    <n v="2025"/>
    <x v="0"/>
  </r>
  <r>
    <s v="CLM-10584"/>
    <d v="2020-04-23T00:00:00"/>
    <d v="2020-05-02T00:00:00"/>
    <d v="2020-08-28T00:00:00"/>
    <n v="73031.78"/>
    <x v="3"/>
    <n v="4"/>
    <n v="1"/>
    <n v="2020"/>
    <x v="1"/>
  </r>
  <r>
    <s v="CLM-10096"/>
    <d v="2022-01-02T00:00:00"/>
    <d v="2022-01-10T00:00:00"/>
    <d v="2022-08-25T00:00:00"/>
    <n v="-14422.59"/>
    <x v="2"/>
    <n v="7"/>
    <n v="1"/>
    <n v="2022"/>
    <x v="1"/>
  </r>
  <r>
    <s v="CLM-10463"/>
    <d v="2022-07-08T00:00:00"/>
    <d v="2022-08-18T00:00:00"/>
    <d v="2023-07-07T00:00:00"/>
    <n v="77321.710000000006"/>
    <x v="2"/>
    <n v="12"/>
    <n v="1"/>
    <n v="2023"/>
    <x v="0"/>
  </r>
  <r>
    <s v="CLM-10436"/>
    <d v="2023-05-21T00:00:00"/>
    <d v="2023-07-01T00:00:00"/>
    <d v="2023-11-19T00:00:00"/>
    <n v="75455.100000000006"/>
    <x v="0"/>
    <n v="6"/>
    <n v="1"/>
    <n v="2023"/>
    <x v="1"/>
  </r>
  <r>
    <s v="CLM-10202"/>
    <d v="2022-04-25T00:00:00"/>
    <d v="2022-06-03T00:00:00"/>
    <d v="2022-07-13T00:00:00"/>
    <n v="53516.28"/>
    <x v="2"/>
    <n v="3"/>
    <n v="1"/>
    <n v="2022"/>
    <x v="1"/>
  </r>
  <r>
    <s v="CLM-10163"/>
    <d v="2022-04-05T00:00:00"/>
    <d v="2022-04-29T00:00:00"/>
    <d v="2023-02-07T00:00:00"/>
    <n v="73466.080000000002"/>
    <x v="2"/>
    <n v="10"/>
    <n v="1"/>
    <n v="2023"/>
    <x v="0"/>
  </r>
  <r>
    <s v="CLM-10577"/>
    <d v="2020-09-26T00:00:00"/>
    <d v="2020-12-22T00:00:00"/>
    <d v="2021-09-11T00:00:00"/>
    <n v="50563.07"/>
    <x v="3"/>
    <n v="12"/>
    <n v="1"/>
    <n v="2021"/>
    <x v="0"/>
  </r>
  <r>
    <s v="CLM-10489"/>
    <d v="2021-06-29T00:00:00"/>
    <d v="2021-07-21T00:00:00"/>
    <d v="2022-07-13T00:00:00"/>
    <n v="79661.52"/>
    <x v="1"/>
    <n v="13"/>
    <n v="2"/>
    <n v="2022"/>
    <x v="0"/>
  </r>
  <r>
    <s v="CLM-10132"/>
    <d v="2020-11-29T00:00:00"/>
    <d v="2021-02-21T00:00:00"/>
    <d v="2021-05-03T00:00:00"/>
    <n v="61386.79"/>
    <x v="3"/>
    <n v="6"/>
    <n v="1"/>
    <n v="2021"/>
    <x v="0"/>
  </r>
  <r>
    <s v="CLM-10366"/>
    <d v="2023-03-21T00:00:00"/>
    <d v="2023-03-23T00:00:00"/>
    <d v="2023-09-29T00:00:00"/>
    <n v="30254.59"/>
    <x v="0"/>
    <n v="6"/>
    <n v="1"/>
    <n v="2023"/>
    <x v="1"/>
  </r>
  <r>
    <s v="CLM-10253"/>
    <d v="2021-09-30T00:00:00"/>
    <d v="2021-11-04T00:00:00"/>
    <d v="2022-08-24T00:00:00"/>
    <n v="48097.21"/>
    <x v="1"/>
    <n v="11"/>
    <n v="1"/>
    <n v="2022"/>
    <x v="0"/>
  </r>
  <r>
    <s v="CLM-10757"/>
    <d v="2021-02-20T00:00:00"/>
    <d v="2021-04-25T00:00:00"/>
    <d v="2021-10-12T00:00:00"/>
    <n v="-2023.74"/>
    <x v="1"/>
    <n v="8"/>
    <n v="1"/>
    <n v="2021"/>
    <x v="1"/>
  </r>
  <r>
    <s v="CLM-10741"/>
    <d v="2020-03-12T00:00:00"/>
    <d v="2020-05-26T00:00:00"/>
    <d v="2021-06-06T00:00:00"/>
    <n v="8415.02"/>
    <x v="3"/>
    <n v="15"/>
    <n v="2"/>
    <n v="2021"/>
    <x v="0"/>
  </r>
  <r>
    <s v="CLM-10638"/>
    <d v="2023-06-21T00:00:00"/>
    <d v="2023-09-09T00:00:00"/>
    <d v="2023-12-08T00:00:00"/>
    <n v="16191.14"/>
    <x v="0"/>
    <n v="6"/>
    <n v="1"/>
    <n v="2023"/>
    <x v="1"/>
  </r>
  <r>
    <s v="CLM-10553"/>
    <d v="2022-12-07T00:00:00"/>
    <d v="2023-02-16T00:00:00"/>
    <d v="2024-03-29T00:00:00"/>
    <n v="79448.03"/>
    <x v="2"/>
    <n v="15"/>
    <n v="2"/>
    <n v="2024"/>
    <x v="2"/>
  </r>
  <r>
    <s v="CLM-10212"/>
    <d v="2024-09-13T00:00:00"/>
    <d v="2024-09-22T00:00:00"/>
    <d v="2025-01-12T00:00:00"/>
    <n v="84340.68"/>
    <x v="4"/>
    <n v="4"/>
    <n v="1"/>
    <n v="2025"/>
    <x v="0"/>
  </r>
  <r>
    <s v="CLM-10097"/>
    <d v="2021-04-13T00:00:00"/>
    <d v="2021-06-26T00:00:00"/>
    <d v="2023-04-04T00:00:00"/>
    <n v="42211.83"/>
    <x v="1"/>
    <n v="24"/>
    <n v="2"/>
    <n v="2023"/>
    <x v="2"/>
  </r>
  <r>
    <s v="CLM-10510"/>
    <d v="2022-12-19T00:00:00"/>
    <d v="2023-01-26T00:00:00"/>
    <d v="2023-10-31T00:00:00"/>
    <n v="83040.94"/>
    <x v="2"/>
    <n v="10"/>
    <n v="1"/>
    <n v="2023"/>
    <x v="0"/>
  </r>
  <r>
    <s v="CLM-10037"/>
    <d v="2024-04-03T00:00:00"/>
    <d v="2024-05-26T00:00:00"/>
    <d v="2025-02-22T00:00:00"/>
    <n v="68267.64"/>
    <x v="4"/>
    <n v="10"/>
    <n v="1"/>
    <n v="2025"/>
    <x v="0"/>
  </r>
  <r>
    <s v="CLM-10254"/>
    <d v="2023-06-06T00:00:00"/>
    <d v="2023-06-14T00:00:00"/>
    <d v="2023-07-26T00:00:00"/>
    <n v="60303.13"/>
    <x v="0"/>
    <n v="1"/>
    <n v="1"/>
    <n v="2023"/>
    <x v="1"/>
  </r>
  <r>
    <s v="CLM-10288"/>
    <d v="2022-02-17T00:00:00"/>
    <d v="2022-04-07T00:00:00"/>
    <d v="2022-11-17T00:00:00"/>
    <n v="63755.63"/>
    <x v="2"/>
    <n v="9"/>
    <n v="1"/>
    <n v="2022"/>
    <x v="1"/>
  </r>
  <r>
    <s v="CLM-10336"/>
    <d v="2023-07-13T00:00:00"/>
    <d v="2023-07-30T00:00:00"/>
    <d v="2024-01-02T00:00:00"/>
    <n v="6052.23"/>
    <x v="0"/>
    <n v="6"/>
    <n v="1"/>
    <n v="2024"/>
    <x v="0"/>
  </r>
  <r>
    <s v="CLM-10788"/>
    <d v="2024-04-03T00:00:00"/>
    <d v="2024-06-24T00:00:00"/>
    <d v="2025-04-16T00:00:00"/>
    <n v="13338.61"/>
    <x v="4"/>
    <n v="12"/>
    <n v="1"/>
    <n v="2025"/>
    <x v="0"/>
  </r>
  <r>
    <s v="CLM-10434"/>
    <d v="2022-06-13T00:00:00"/>
    <d v="2022-08-11T00:00:00"/>
    <d v="2023-07-07T00:00:00"/>
    <n v="58986.14"/>
    <x v="2"/>
    <n v="13"/>
    <n v="2"/>
    <n v="2023"/>
    <x v="0"/>
  </r>
  <r>
    <s v="CLM-10562"/>
    <d v="2021-06-21T00:00:00"/>
    <m/>
    <d v="2021-07-31T00:00:00"/>
    <n v="16214.82"/>
    <x v="1"/>
    <n v="1"/>
    <n v="1"/>
    <n v="2021"/>
    <x v="1"/>
  </r>
  <r>
    <s v="CLM-10503"/>
    <d v="2022-02-01T00:00:00"/>
    <d v="2022-04-13T00:00:00"/>
    <d v="2022-07-26T00:00:00"/>
    <n v="35286.94"/>
    <x v="2"/>
    <n v="5"/>
    <n v="1"/>
    <n v="2022"/>
    <x v="1"/>
  </r>
  <r>
    <s v="CLM-10729"/>
    <d v="2023-05-19T00:00:00"/>
    <d v="2023-07-10T00:00:00"/>
    <d v="2023-10-28T00:00:00"/>
    <n v="69019.27"/>
    <x v="0"/>
    <n v="5"/>
    <n v="1"/>
    <n v="2023"/>
    <x v="1"/>
  </r>
  <r>
    <s v="CLM-10661"/>
    <d v="2023-08-14T00:00:00"/>
    <d v="2023-08-18T00:00:00"/>
    <d v="2024-01-03T00:00:00"/>
    <n v="11412.63"/>
    <x v="0"/>
    <n v="5"/>
    <n v="1"/>
    <n v="2024"/>
    <x v="0"/>
  </r>
  <r>
    <s v="CLM-10002"/>
    <d v="2024-02-07T00:00:00"/>
    <d v="2024-02-13T00:00:00"/>
    <d v="2024-08-30T00:00:00"/>
    <n v="-9053.52"/>
    <x v="4"/>
    <n v="6"/>
    <n v="1"/>
    <n v="2024"/>
    <x v="1"/>
  </r>
  <r>
    <s v="CLM-10362"/>
    <d v="2022-08-27T00:00:00"/>
    <d v="2022-11-24T00:00:00"/>
    <d v="2023-01-21T00:00:00"/>
    <n v="49461.31"/>
    <x v="2"/>
    <n v="5"/>
    <n v="1"/>
    <n v="2023"/>
    <x v="0"/>
  </r>
  <r>
    <s v="CLM-10748"/>
    <d v="2020-07-19T00:00:00"/>
    <d v="2020-09-02T00:00:00"/>
    <d v="2020-12-12T00:00:00"/>
    <n v="76322.039999999994"/>
    <x v="3"/>
    <n v="5"/>
    <n v="1"/>
    <n v="2020"/>
    <x v="1"/>
  </r>
  <r>
    <s v="CLM-10509"/>
    <d v="2021-08-11T00:00:00"/>
    <d v="2021-08-28T00:00:00"/>
    <d v="2021-11-17T00:00:00"/>
    <n v="51355.19"/>
    <x v="1"/>
    <n v="3"/>
    <n v="1"/>
    <n v="2021"/>
    <x v="1"/>
  </r>
  <r>
    <s v="CLM-10786"/>
    <d v="2023-02-07T00:00:00"/>
    <d v="2023-04-13T00:00:00"/>
    <d v="2024-02-26T00:00:00"/>
    <n v="-1831.91"/>
    <x v="0"/>
    <n v="12"/>
    <n v="1"/>
    <n v="2024"/>
    <x v="0"/>
  </r>
  <r>
    <s v="CLM-10587"/>
    <d v="2020-08-02T00:00:00"/>
    <m/>
    <d v="2020-11-14T00:00:00"/>
    <n v="67096.820000000007"/>
    <x v="3"/>
    <n v="3"/>
    <n v="1"/>
    <n v="2020"/>
    <x v="1"/>
  </r>
  <r>
    <s v="CLM-10746"/>
    <d v="2024-05-04T00:00:00"/>
    <d v="2024-05-28T00:00:00"/>
    <d v="2025-02-02T00:00:00"/>
    <n v="-18919.150000000001"/>
    <x v="4"/>
    <n v="9"/>
    <n v="1"/>
    <n v="2025"/>
    <x v="0"/>
  </r>
  <r>
    <s v="CLM-10470"/>
    <d v="2022-01-27T00:00:00"/>
    <d v="2022-03-29T00:00:00"/>
    <d v="2022-10-23T00:00:00"/>
    <n v="11213.7"/>
    <x v="2"/>
    <n v="9"/>
    <n v="1"/>
    <n v="2022"/>
    <x v="1"/>
  </r>
  <r>
    <s v="CLM-10589"/>
    <d v="2020-01-24T00:00:00"/>
    <d v="2020-04-20T00:00:00"/>
    <d v="2021-08-11T00:00:00"/>
    <n v="67239.149999999994"/>
    <x v="3"/>
    <n v="19"/>
    <n v="2"/>
    <n v="2021"/>
    <x v="0"/>
  </r>
  <r>
    <s v="CLM-10186"/>
    <d v="2020-04-14T00:00:00"/>
    <d v="2020-04-30T00:00:00"/>
    <d v="2020-11-06T00:00:00"/>
    <n v="25307.1"/>
    <x v="3"/>
    <n v="7"/>
    <n v="1"/>
    <n v="2020"/>
    <x v="1"/>
  </r>
  <r>
    <s v="CLM-10437"/>
    <d v="2021-01-18T00:00:00"/>
    <d v="2021-01-30T00:00:00"/>
    <d v="2021-06-12T00:00:00"/>
    <n v="26488.49"/>
    <x v="1"/>
    <n v="5"/>
    <n v="1"/>
    <n v="2021"/>
    <x v="1"/>
  </r>
  <r>
    <s v="CLM-10021"/>
    <d v="2021-03-18T00:00:00"/>
    <d v="2021-05-16T00:00:00"/>
    <d v="2022-05-01T00:00:00"/>
    <n v="-16992.77"/>
    <x v="1"/>
    <n v="14"/>
    <n v="2"/>
    <n v="2022"/>
    <x v="0"/>
  </r>
  <r>
    <s v="CLM-10564"/>
    <d v="2022-09-14T00:00:00"/>
    <d v="2022-09-24T00:00:00"/>
    <d v="2022-12-29T00:00:00"/>
    <n v="14586.07"/>
    <x v="2"/>
    <n v="3"/>
    <n v="1"/>
    <n v="2022"/>
    <x v="1"/>
  </r>
  <r>
    <s v="CLM-10652"/>
    <d v="2023-10-21T00:00:00"/>
    <d v="2023-12-11T00:00:00"/>
    <d v="2024-03-26T00:00:00"/>
    <n v="-17498.88"/>
    <x v="0"/>
    <n v="5"/>
    <n v="1"/>
    <n v="2024"/>
    <x v="0"/>
  </r>
  <r>
    <s v="CLM-10523"/>
    <d v="2021-06-09T00:00:00"/>
    <d v="2021-08-23T00:00:00"/>
    <d v="2022-01-28T00:00:00"/>
    <n v="75313.72"/>
    <x v="1"/>
    <n v="7"/>
    <n v="1"/>
    <n v="2022"/>
    <x v="0"/>
  </r>
  <r>
    <s v="CLM-10166"/>
    <d v="2022-06-27T00:00:00"/>
    <d v="2022-06-28T00:00:00"/>
    <d v="2022-08-02T00:00:00"/>
    <n v="-2636.75"/>
    <x v="2"/>
    <n v="2"/>
    <n v="1"/>
    <n v="2022"/>
    <x v="1"/>
  </r>
  <r>
    <s v="CLM-10163"/>
    <d v="2022-04-05T00:00:00"/>
    <d v="2022-04-29T00:00:00"/>
    <d v="2022-08-03T00:00:00"/>
    <n v="-15378.65"/>
    <x v="2"/>
    <n v="4"/>
    <n v="1"/>
    <n v="2022"/>
    <x v="1"/>
  </r>
  <r>
    <s v="CLM-10370"/>
    <d v="2023-07-19T00:00:00"/>
    <d v="2023-08-05T00:00:00"/>
    <d v="2024-05-28T00:00:00"/>
    <n v="16720.91"/>
    <x v="0"/>
    <n v="10"/>
    <n v="1"/>
    <n v="2024"/>
    <x v="0"/>
  </r>
  <r>
    <s v="CLM-10227"/>
    <d v="2023-10-02T00:00:00"/>
    <m/>
    <d v="2025-02-17T00:00:00"/>
    <n v="19150.02"/>
    <x v="0"/>
    <n v="16"/>
    <n v="2"/>
    <n v="2025"/>
    <x v="2"/>
  </r>
  <r>
    <s v="CLM-10547"/>
    <d v="2020-11-28T00:00:00"/>
    <d v="2021-02-13T00:00:00"/>
    <d v="2022-07-15T00:00:00"/>
    <n v="33900.44"/>
    <x v="3"/>
    <n v="20"/>
    <n v="2"/>
    <n v="2022"/>
    <x v="2"/>
  </r>
  <r>
    <s v="CLM-10400"/>
    <d v="2023-01-01T00:00:00"/>
    <d v="2023-01-11T00:00:00"/>
    <d v="2023-07-10T00:00:00"/>
    <n v="-21396.09"/>
    <x v="0"/>
    <n v="6"/>
    <n v="1"/>
    <n v="2023"/>
    <x v="1"/>
  </r>
  <r>
    <s v="CLM-10757"/>
    <d v="2021-02-20T00:00:00"/>
    <d v="2021-04-25T00:00:00"/>
    <d v="2022-03-01T00:00:00"/>
    <n v="42932"/>
    <x v="1"/>
    <n v="13"/>
    <n v="2"/>
    <n v="2022"/>
    <x v="0"/>
  </r>
  <r>
    <s v="CLM-10108"/>
    <d v="2020-10-11T00:00:00"/>
    <d v="2020-12-27T00:00:00"/>
    <d v="2022-01-19T00:00:00"/>
    <n v="77558.59"/>
    <x v="3"/>
    <n v="15"/>
    <n v="2"/>
    <n v="2022"/>
    <x v="2"/>
  </r>
  <r>
    <s v="CLM-10197"/>
    <d v="2024-05-10T00:00:00"/>
    <d v="2024-07-05T00:00:00"/>
    <d v="2024-10-25T00:00:00"/>
    <n v="62315.16"/>
    <x v="4"/>
    <n v="5"/>
    <n v="1"/>
    <n v="2024"/>
    <x v="1"/>
  </r>
  <r>
    <s v="CLM-10747"/>
    <d v="2023-06-05T00:00:00"/>
    <m/>
    <d v="2023-11-04T00:00:00"/>
    <n v="48860.25"/>
    <x v="0"/>
    <n v="5"/>
    <n v="1"/>
    <n v="2023"/>
    <x v="1"/>
  </r>
  <r>
    <s v="CLM-10058"/>
    <d v="2021-04-10T00:00:00"/>
    <d v="2021-04-27T00:00:00"/>
    <d v="2021-08-18T00:00:00"/>
    <n v="40377.480000000003"/>
    <x v="1"/>
    <n v="4"/>
    <n v="1"/>
    <n v="2021"/>
    <x v="1"/>
  </r>
  <r>
    <s v="CLM-10632"/>
    <d v="2020-11-27T00:00:00"/>
    <d v="2021-02-19T00:00:00"/>
    <d v="2021-09-02T00:00:00"/>
    <n v="10516.25"/>
    <x v="3"/>
    <n v="10"/>
    <n v="1"/>
    <n v="2021"/>
    <x v="0"/>
  </r>
  <r>
    <s v="CLM-10734"/>
    <d v="2020-05-02T00:00:00"/>
    <d v="2020-06-10T00:00:00"/>
    <d v="2020-11-03T00:00:00"/>
    <n v="44606.52"/>
    <x v="3"/>
    <n v="6"/>
    <n v="1"/>
    <n v="2020"/>
    <x v="1"/>
  </r>
  <r>
    <s v="CLM-10211"/>
    <d v="2020-09-28T00:00:00"/>
    <d v="2020-12-13T00:00:00"/>
    <d v="2021-03-09T00:00:00"/>
    <n v="63962.99"/>
    <x v="3"/>
    <n v="6"/>
    <n v="1"/>
    <n v="2021"/>
    <x v="0"/>
  </r>
  <r>
    <s v="CLM-10055"/>
    <d v="2022-02-19T00:00:00"/>
    <d v="2022-05-07T00:00:00"/>
    <d v="2022-07-24T00:00:00"/>
    <n v="81210.990000000005"/>
    <x v="2"/>
    <n v="5"/>
    <n v="1"/>
    <n v="2022"/>
    <x v="1"/>
  </r>
  <r>
    <s v="CLM-10205"/>
    <d v="2020-05-07T00:00:00"/>
    <d v="2020-05-31T00:00:00"/>
    <d v="2021-03-19T00:00:00"/>
    <n v="83135.199999999997"/>
    <x v="3"/>
    <n v="10"/>
    <n v="1"/>
    <n v="2021"/>
    <x v="0"/>
  </r>
  <r>
    <s v="CLM-10788"/>
    <d v="2024-04-03T00:00:00"/>
    <d v="2024-06-24T00:00:00"/>
    <d v="2024-11-11T00:00:00"/>
    <n v="71109.61"/>
    <x v="4"/>
    <n v="7"/>
    <n v="1"/>
    <n v="2024"/>
    <x v="1"/>
  </r>
  <r>
    <s v="CLM-10741"/>
    <d v="2020-03-12T00:00:00"/>
    <d v="2020-05-26T00:00:00"/>
    <d v="2021-02-03T00:00:00"/>
    <n v="55280.3"/>
    <x v="3"/>
    <n v="11"/>
    <n v="1"/>
    <n v="2021"/>
    <x v="0"/>
  </r>
  <r>
    <s v="CLM-10043"/>
    <d v="2022-09-09T00:00:00"/>
    <d v="2022-10-08T00:00:00"/>
    <d v="2023-09-05T00:00:00"/>
    <n v="-3040.98"/>
    <x v="2"/>
    <n v="12"/>
    <n v="1"/>
    <n v="2023"/>
    <x v="0"/>
  </r>
  <r>
    <s v="CLM-10285"/>
    <d v="2020-12-02T00:00:00"/>
    <d v="2021-02-21T00:00:00"/>
    <d v="2021-10-16T00:00:00"/>
    <n v="36080.19"/>
    <x v="3"/>
    <n v="10"/>
    <n v="1"/>
    <n v="2021"/>
    <x v="0"/>
  </r>
  <r>
    <s v="CLM-10310"/>
    <d v="2020-01-04T00:00:00"/>
    <d v="2020-02-18T00:00:00"/>
    <d v="2020-06-12T00:00:00"/>
    <n v="24689.89"/>
    <x v="3"/>
    <n v="5"/>
    <n v="1"/>
    <n v="2020"/>
    <x v="1"/>
  </r>
  <r>
    <s v="CLM-10760"/>
    <d v="2024-07-12T00:00:00"/>
    <d v="2024-09-21T00:00:00"/>
    <d v="2025-02-19T00:00:00"/>
    <n v="26454.639999999999"/>
    <x v="4"/>
    <n v="7"/>
    <n v="1"/>
    <n v="2025"/>
    <x v="0"/>
  </r>
  <r>
    <s v="CLM-10749"/>
    <d v="2021-05-21T00:00:00"/>
    <d v="2021-06-26T00:00:00"/>
    <d v="2022-05-20T00:00:00"/>
    <n v="14848.07"/>
    <x v="1"/>
    <n v="12"/>
    <n v="1"/>
    <n v="2022"/>
    <x v="0"/>
  </r>
  <r>
    <s v="CLM-10383"/>
    <d v="2023-06-20T00:00:00"/>
    <d v="2023-07-10T00:00:00"/>
    <d v="2024-11-19T00:00:00"/>
    <n v="52476.28"/>
    <x v="0"/>
    <n v="17"/>
    <n v="2"/>
    <n v="2024"/>
    <x v="0"/>
  </r>
  <r>
    <s v="CLM-10274"/>
    <d v="2020-02-29T00:00:00"/>
    <d v="2020-03-14T00:00:00"/>
    <d v="2020-08-20T00:00:00"/>
    <n v="9646.16"/>
    <x v="3"/>
    <n v="6"/>
    <n v="1"/>
    <n v="2020"/>
    <x v="1"/>
  </r>
  <r>
    <s v="CLM-10370"/>
    <d v="2023-07-19T00:00:00"/>
    <d v="2023-08-05T00:00:00"/>
    <d v="2024-03-26T00:00:00"/>
    <n v="83834.45"/>
    <x v="0"/>
    <n v="8"/>
    <n v="1"/>
    <n v="2024"/>
    <x v="0"/>
  </r>
  <r>
    <s v="CLM-10713"/>
    <d v="2021-07-28T00:00:00"/>
    <d v="2021-07-30T00:00:00"/>
    <d v="2022-08-02T00:00:00"/>
    <n v="23785.37"/>
    <x v="1"/>
    <n v="13"/>
    <n v="2"/>
    <n v="2022"/>
    <x v="0"/>
  </r>
  <r>
    <s v="CLM-10482"/>
    <d v="2024-02-01T00:00:00"/>
    <d v="2024-02-23T00:00:00"/>
    <d v="2025-01-08T00:00:00"/>
    <n v="66309.72"/>
    <x v="4"/>
    <n v="11"/>
    <n v="1"/>
    <n v="2025"/>
    <x v="0"/>
  </r>
  <r>
    <s v="CLM-10580"/>
    <d v="2021-09-03T00:00:00"/>
    <d v="2021-10-13T00:00:00"/>
    <d v="2022-07-23T00:00:00"/>
    <n v="-9159.33"/>
    <x v="1"/>
    <n v="10"/>
    <n v="1"/>
    <n v="2022"/>
    <x v="0"/>
  </r>
  <r>
    <s v="CLM-10731"/>
    <d v="2020-04-05T00:00:00"/>
    <d v="2020-05-31T00:00:00"/>
    <d v="2021-05-30T00:00:00"/>
    <n v="6113.06"/>
    <x v="3"/>
    <n v="13"/>
    <n v="2"/>
    <n v="2021"/>
    <x v="0"/>
  </r>
  <r>
    <s v="CLM-10137"/>
    <d v="2023-01-10T00:00:00"/>
    <d v="2023-02-11T00:00:00"/>
    <d v="2024-02-29T00:00:00"/>
    <n v="83003.45"/>
    <x v="0"/>
    <n v="13"/>
    <n v="2"/>
    <n v="2024"/>
    <x v="0"/>
  </r>
  <r>
    <s v="CLM-10191"/>
    <d v="2024-10-23T00:00:00"/>
    <m/>
    <d v="2024-11-12T00:00:00"/>
    <n v="7174.9"/>
    <x v="4"/>
    <n v="1"/>
    <n v="1"/>
    <n v="2024"/>
    <x v="1"/>
  </r>
  <r>
    <s v="CLM-10153"/>
    <d v="2021-02-21T00:00:00"/>
    <d v="2021-03-24T00:00:00"/>
    <d v="2021-09-11T00:00:00"/>
    <n v="40284.71"/>
    <x v="1"/>
    <n v="7"/>
    <n v="1"/>
    <n v="2021"/>
    <x v="1"/>
  </r>
  <r>
    <s v="CLM-10206"/>
    <d v="2022-09-16T00:00:00"/>
    <d v="2022-12-11T00:00:00"/>
    <d v="2024-04-07T00:00:00"/>
    <n v="84692.160000000003"/>
    <x v="2"/>
    <n v="19"/>
    <n v="2"/>
    <n v="2024"/>
    <x v="2"/>
  </r>
  <r>
    <s v="CLM-10238"/>
    <d v="2022-03-09T00:00:00"/>
    <d v="2022-03-10T00:00:00"/>
    <d v="2022-09-24T00:00:00"/>
    <n v="2515.4899999999998"/>
    <x v="2"/>
    <n v="6"/>
    <n v="1"/>
    <n v="2022"/>
    <x v="1"/>
  </r>
  <r>
    <s v="CLM-10040"/>
    <d v="2022-01-05T00:00:00"/>
    <m/>
    <d v="2022-03-29T00:00:00"/>
    <n v="69406.399999999994"/>
    <x v="2"/>
    <n v="2"/>
    <n v="1"/>
    <n v="2022"/>
    <x v="1"/>
  </r>
  <r>
    <s v="CLM-10314"/>
    <d v="2021-08-08T00:00:00"/>
    <d v="2021-10-17T00:00:00"/>
    <d v="2022-01-19T00:00:00"/>
    <n v="22033.86"/>
    <x v="1"/>
    <n v="5"/>
    <n v="1"/>
    <n v="2022"/>
    <x v="0"/>
  </r>
  <r>
    <s v="CLM-10558"/>
    <d v="2021-01-02T00:00:00"/>
    <d v="2021-03-02T00:00:00"/>
    <d v="2022-04-09T00:00:00"/>
    <n v="18988.71"/>
    <x v="1"/>
    <n v="15"/>
    <n v="2"/>
    <n v="2022"/>
    <x v="0"/>
  </r>
  <r>
    <s v="CLM-10046"/>
    <d v="2020-05-07T00:00:00"/>
    <d v="2020-07-18T00:00:00"/>
    <d v="2021-02-23T00:00:00"/>
    <n v="72729.84"/>
    <x v="3"/>
    <n v="9"/>
    <n v="1"/>
    <n v="2021"/>
    <x v="0"/>
  </r>
  <r>
    <s v="CLM-10125"/>
    <d v="2021-02-23T00:00:00"/>
    <d v="2021-02-24T00:00:00"/>
    <d v="2022-02-28T00:00:00"/>
    <n v="38897.72"/>
    <x v="1"/>
    <n v="12"/>
    <n v="1"/>
    <n v="2022"/>
    <x v="0"/>
  </r>
  <r>
    <s v="CLM-10738"/>
    <d v="2020-12-21T00:00:00"/>
    <d v="2021-02-27T00:00:00"/>
    <d v="2021-09-01T00:00:00"/>
    <n v="66377.66"/>
    <x v="3"/>
    <n v="9"/>
    <n v="1"/>
    <n v="2021"/>
    <x v="0"/>
  </r>
  <r>
    <s v="CLM-10662"/>
    <d v="2024-05-07T00:00:00"/>
    <d v="2024-07-07T00:00:00"/>
    <d v="2024-10-16T00:00:00"/>
    <n v="38966.15"/>
    <x v="4"/>
    <n v="5"/>
    <n v="1"/>
    <n v="2024"/>
    <x v="1"/>
  </r>
  <r>
    <s v="CLM-10659"/>
    <d v="2022-08-28T00:00:00"/>
    <d v="2022-09-06T00:00:00"/>
    <d v="2023-01-31T00:00:00"/>
    <n v="2260.29"/>
    <x v="2"/>
    <n v="5"/>
    <n v="1"/>
    <n v="2023"/>
    <x v="0"/>
  </r>
  <r>
    <s v="CLM-10338"/>
    <d v="2021-07-24T00:00:00"/>
    <d v="2021-08-15T00:00:00"/>
    <d v="2021-10-15T00:00:00"/>
    <n v="42922.080000000002"/>
    <x v="1"/>
    <n v="3"/>
    <n v="1"/>
    <n v="2021"/>
    <x v="1"/>
  </r>
  <r>
    <s v="CLM-10521"/>
    <d v="2022-01-05T00:00:00"/>
    <d v="2022-02-05T00:00:00"/>
    <d v="2022-12-09T00:00:00"/>
    <n v="33405.24"/>
    <x v="2"/>
    <n v="11"/>
    <n v="1"/>
    <n v="2022"/>
    <x v="1"/>
  </r>
  <r>
    <s v="CLM-10743"/>
    <d v="2023-05-19T00:00:00"/>
    <d v="2023-08-15T00:00:00"/>
    <d v="2024-12-15T00:00:00"/>
    <n v="34010.339999999997"/>
    <x v="0"/>
    <n v="19"/>
    <n v="2"/>
    <n v="2024"/>
    <x v="0"/>
  </r>
  <r>
    <s v="CLM-10484"/>
    <d v="2023-01-23T00:00:00"/>
    <d v="2023-03-30T00:00:00"/>
    <d v="2024-07-29T00:00:00"/>
    <n v="29746.35"/>
    <x v="0"/>
    <n v="18"/>
    <n v="2"/>
    <n v="2024"/>
    <x v="0"/>
  </r>
  <r>
    <s v="CLM-10180"/>
    <d v="2022-02-23T00:00:00"/>
    <d v="2022-04-26T00:00:00"/>
    <d v="2022-08-14T00:00:00"/>
    <n v="-7873.87"/>
    <x v="2"/>
    <n v="6"/>
    <n v="1"/>
    <n v="2022"/>
    <x v="1"/>
  </r>
  <r>
    <s v="CLM-10051"/>
    <d v="2021-10-02T00:00:00"/>
    <d v="2021-12-29T00:00:00"/>
    <d v="2022-02-28T00:00:00"/>
    <n v="-19670.400000000001"/>
    <x v="1"/>
    <n v="4"/>
    <n v="1"/>
    <n v="2022"/>
    <x v="0"/>
  </r>
  <r>
    <s v="CLM-10028"/>
    <d v="2020-03-02T00:00:00"/>
    <d v="2020-05-30T00:00:00"/>
    <d v="2021-05-15T00:00:00"/>
    <n v="76736.62"/>
    <x v="3"/>
    <n v="14"/>
    <n v="2"/>
    <n v="2021"/>
    <x v="0"/>
  </r>
  <r>
    <s v="CLM-10547"/>
    <d v="2020-11-28T00:00:00"/>
    <d v="2021-02-13T00:00:00"/>
    <d v="2022-01-06T00:00:00"/>
    <n v="17526.330000000002"/>
    <x v="3"/>
    <n v="14"/>
    <n v="2"/>
    <n v="2022"/>
    <x v="2"/>
  </r>
  <r>
    <s v="CLM-10560"/>
    <d v="2022-09-25T00:00:00"/>
    <d v="2022-10-20T00:00:00"/>
    <d v="2024-08-08T00:00:00"/>
    <n v="6922.13"/>
    <x v="2"/>
    <n v="23"/>
    <n v="2"/>
    <n v="2024"/>
    <x v="2"/>
  </r>
  <r>
    <s v="CLM-10756"/>
    <d v="2022-07-31T00:00:00"/>
    <d v="2022-08-17T00:00:00"/>
    <d v="2023-11-08T00:00:00"/>
    <n v="-19040.259999999998"/>
    <x v="2"/>
    <n v="16"/>
    <n v="2"/>
    <n v="2023"/>
    <x v="0"/>
  </r>
  <r>
    <s v="CLM-10448"/>
    <d v="2023-10-06T00:00:00"/>
    <d v="2023-12-15T00:00:00"/>
    <d v="2024-03-10T00:00:00"/>
    <n v="-3812.25"/>
    <x v="0"/>
    <n v="5"/>
    <n v="1"/>
    <n v="2024"/>
    <x v="0"/>
  </r>
  <r>
    <s v="CLM-10123"/>
    <d v="2022-08-08T00:00:00"/>
    <d v="2022-10-14T00:00:00"/>
    <d v="2023-07-17T00:00:00"/>
    <n v="-22483.15"/>
    <x v="2"/>
    <n v="11"/>
    <n v="1"/>
    <n v="2023"/>
    <x v="0"/>
  </r>
  <r>
    <s v="CLM-10535"/>
    <d v="2024-04-14T00:00:00"/>
    <d v="2024-06-12T00:00:00"/>
    <d v="2025-03-25T00:00:00"/>
    <n v="40687.43"/>
    <x v="4"/>
    <n v="11"/>
    <n v="1"/>
    <n v="2025"/>
    <x v="0"/>
  </r>
  <r>
    <s v="CLM-10705"/>
    <d v="2021-11-18T00:00:00"/>
    <d v="2022-01-29T00:00:00"/>
    <d v="2023-06-15T00:00:00"/>
    <n v="54968.26"/>
    <x v="1"/>
    <n v="19"/>
    <n v="2"/>
    <n v="2023"/>
    <x v="2"/>
  </r>
  <r>
    <s v="CLM-10492"/>
    <d v="2024-02-27T00:00:00"/>
    <d v="2024-04-15T00:00:00"/>
    <d v="2024-05-21T00:00:00"/>
    <n v="70832.070000000007"/>
    <x v="4"/>
    <n v="3"/>
    <n v="1"/>
    <n v="2024"/>
    <x v="1"/>
  </r>
  <r>
    <s v="CLM-10187"/>
    <d v="2020-07-28T00:00:00"/>
    <d v="2020-08-05T00:00:00"/>
    <d v="2021-02-15T00:00:00"/>
    <n v="28606.58"/>
    <x v="3"/>
    <n v="7"/>
    <n v="1"/>
    <n v="2021"/>
    <x v="0"/>
  </r>
  <r>
    <s v="CLM-10332"/>
    <d v="2023-04-25T00:00:00"/>
    <d v="2023-06-10T00:00:00"/>
    <d v="2024-01-21T00:00:00"/>
    <n v="82082.490000000005"/>
    <x v="0"/>
    <n v="9"/>
    <n v="1"/>
    <n v="2024"/>
    <x v="0"/>
  </r>
  <r>
    <s v="CLM-10399"/>
    <d v="2024-03-13T00:00:00"/>
    <d v="2024-05-31T00:00:00"/>
    <d v="2024-06-17T00:00:00"/>
    <n v="66061.58"/>
    <x v="4"/>
    <n v="3"/>
    <n v="1"/>
    <n v="2024"/>
    <x v="1"/>
  </r>
  <r>
    <s v="CLM-10473"/>
    <d v="2021-02-10T00:00:00"/>
    <d v="2021-04-08T00:00:00"/>
    <d v="2022-01-28T00:00:00"/>
    <n v="54598.68"/>
    <x v="1"/>
    <n v="11"/>
    <n v="1"/>
    <n v="2022"/>
    <x v="0"/>
  </r>
  <r>
    <s v="CLM-10157"/>
    <d v="2020-12-19T00:00:00"/>
    <d v="2021-01-27T00:00:00"/>
    <d v="2021-06-05T00:00:00"/>
    <n v="-8435.69"/>
    <x v="3"/>
    <n v="6"/>
    <n v="1"/>
    <n v="2021"/>
    <x v="0"/>
  </r>
  <r>
    <s v="CLM-10510"/>
    <d v="2022-12-19T00:00:00"/>
    <d v="2023-01-26T00:00:00"/>
    <d v="2024-04-27T00:00:00"/>
    <n v="64152.18"/>
    <x v="2"/>
    <n v="16"/>
    <n v="2"/>
    <n v="2024"/>
    <x v="2"/>
  </r>
  <r>
    <s v="CLM-10675"/>
    <d v="2023-03-27T00:00:00"/>
    <d v="2023-04-08T00:00:00"/>
    <d v="2024-02-22T00:00:00"/>
    <n v="50860.25"/>
    <x v="0"/>
    <n v="11"/>
    <n v="1"/>
    <n v="2024"/>
    <x v="0"/>
  </r>
  <r>
    <s v="CLM-10296"/>
    <d v="2021-12-26T00:00:00"/>
    <d v="2022-02-17T00:00:00"/>
    <d v="2022-07-07T00:00:00"/>
    <n v="83193.33"/>
    <x v="1"/>
    <n v="7"/>
    <n v="1"/>
    <n v="2022"/>
    <x v="0"/>
  </r>
  <r>
    <s v="CLM-10447"/>
    <d v="2024-09-25T00:00:00"/>
    <d v="2024-11-10T00:00:00"/>
    <d v="2025-02-24T00:00:00"/>
    <n v="-1657.96"/>
    <x v="4"/>
    <n v="5"/>
    <n v="1"/>
    <n v="2025"/>
    <x v="0"/>
  </r>
  <r>
    <s v="CLM-10107"/>
    <d v="2024-10-02T00:00:00"/>
    <d v="2024-11-14T00:00:00"/>
    <d v="2025-01-07T00:00:00"/>
    <n v="-23810.959999999999"/>
    <x v="4"/>
    <n v="3"/>
    <n v="1"/>
    <n v="2025"/>
    <x v="0"/>
  </r>
  <r>
    <s v="CLM-10275"/>
    <d v="2023-10-12T00:00:00"/>
    <d v="2023-12-31T00:00:00"/>
    <d v="2025-01-31T00:00:00"/>
    <n v="79418.87"/>
    <x v="0"/>
    <n v="15"/>
    <n v="2"/>
    <n v="2025"/>
    <x v="2"/>
  </r>
  <r>
    <s v="CLM-10140"/>
    <d v="2021-08-19T00:00:00"/>
    <d v="2021-09-23T00:00:00"/>
    <d v="2021-07-19T00:00:00"/>
    <n v="56745.99"/>
    <x v="1"/>
    <n v="-1"/>
    <n v="0"/>
    <n v="2021"/>
    <x v="1"/>
  </r>
  <r>
    <s v="CLM-10111"/>
    <d v="2020-11-05T00:00:00"/>
    <d v="2020-11-09T00:00:00"/>
    <d v="2021-02-13T00:00:00"/>
    <n v="18465.349999999999"/>
    <x v="3"/>
    <n v="3"/>
    <n v="1"/>
    <n v="2021"/>
    <x v="0"/>
  </r>
  <r>
    <s v="CLM-10406"/>
    <d v="2020-04-05T00:00:00"/>
    <m/>
    <d v="2020-11-13T00:00:00"/>
    <n v="14282.49"/>
    <x v="3"/>
    <n v="7"/>
    <n v="1"/>
    <n v="2020"/>
    <x v="1"/>
  </r>
  <r>
    <s v="CLM-10418"/>
    <d v="2021-10-26T00:00:00"/>
    <d v="2021-11-30T00:00:00"/>
    <d v="2022-05-14T00:00:00"/>
    <n v="18032"/>
    <x v="1"/>
    <n v="7"/>
    <n v="1"/>
    <n v="2022"/>
    <x v="0"/>
  </r>
  <r>
    <s v="CLM-10590"/>
    <d v="2021-10-14T00:00:00"/>
    <d v="2021-12-28T00:00:00"/>
    <d v="2022-01-25T00:00:00"/>
    <n v="76054.27"/>
    <x v="1"/>
    <n v="3"/>
    <n v="1"/>
    <n v="2022"/>
    <x v="0"/>
  </r>
  <r>
    <s v="CLM-10103"/>
    <d v="2022-07-01T00:00:00"/>
    <d v="2022-07-12T00:00:00"/>
    <d v="2022-10-26T00:00:00"/>
    <n v="30516.639999999999"/>
    <x v="2"/>
    <n v="3"/>
    <n v="1"/>
    <n v="2022"/>
    <x v="1"/>
  </r>
  <r>
    <s v="CLM-10536"/>
    <d v="2024-09-19T00:00:00"/>
    <d v="2024-11-22T00:00:00"/>
    <d v="2025-02-10T00:00:00"/>
    <n v="46021.82"/>
    <x v="4"/>
    <n v="5"/>
    <n v="1"/>
    <n v="2025"/>
    <x v="0"/>
  </r>
  <r>
    <s v="CLM-10345"/>
    <d v="2024-10-28T00:00:00"/>
    <d v="2024-12-15T00:00:00"/>
    <d v="2025-02-07T00:00:00"/>
    <n v="31813.3"/>
    <x v="4"/>
    <n v="4"/>
    <n v="1"/>
    <n v="2025"/>
    <x v="0"/>
  </r>
  <r>
    <s v="CLM-10761"/>
    <d v="2022-05-24T00:00:00"/>
    <d v="2022-07-03T00:00:00"/>
    <d v="2023-08-27T00:00:00"/>
    <n v="19019.900000000001"/>
    <x v="2"/>
    <n v="15"/>
    <n v="2"/>
    <n v="2023"/>
    <x v="0"/>
  </r>
  <r>
    <s v="CLM-10255"/>
    <d v="2020-09-29T00:00:00"/>
    <d v="2020-10-29T00:00:00"/>
    <d v="2021-12-12T00:00:00"/>
    <n v="81701.67"/>
    <x v="3"/>
    <n v="15"/>
    <n v="2"/>
    <n v="2021"/>
    <x v="0"/>
  </r>
  <r>
    <s v="CLM-10708"/>
    <d v="2021-11-16T00:00:00"/>
    <d v="2021-12-23T00:00:00"/>
    <d v="2023-04-09T00:00:00"/>
    <n v="-12840.61"/>
    <x v="1"/>
    <n v="17"/>
    <n v="2"/>
    <n v="2023"/>
    <x v="2"/>
  </r>
  <r>
    <s v="CLM-10545"/>
    <d v="2022-06-02T00:00:00"/>
    <d v="2022-07-17T00:00:00"/>
    <d v="2022-11-07T00:00:00"/>
    <n v="70370.19"/>
    <x v="2"/>
    <n v="5"/>
    <n v="1"/>
    <n v="2022"/>
    <x v="1"/>
  </r>
  <r>
    <s v="CLM-10764"/>
    <d v="2022-11-07T00:00:00"/>
    <d v="2023-02-03T00:00:00"/>
    <d v="2024-09-11T00:00:00"/>
    <n v="81365.02"/>
    <x v="2"/>
    <n v="22"/>
    <n v="2"/>
    <n v="2024"/>
    <x v="2"/>
  </r>
  <r>
    <s v="CLM-10326"/>
    <d v="2021-03-08T00:00:00"/>
    <d v="2021-05-20T00:00:00"/>
    <d v="2021-07-18T00:00:00"/>
    <n v="2197.7399999999998"/>
    <x v="1"/>
    <n v="4"/>
    <n v="1"/>
    <n v="2021"/>
    <x v="1"/>
  </r>
  <r>
    <s v="CLM-10193"/>
    <d v="2023-03-03T00:00:00"/>
    <d v="2023-05-29T00:00:00"/>
    <d v="2024-03-12T00:00:00"/>
    <n v="42681.62"/>
    <x v="0"/>
    <n v="12"/>
    <n v="1"/>
    <n v="2024"/>
    <x v="0"/>
  </r>
  <r>
    <s v="CLM-10626"/>
    <d v="2023-01-05T00:00:00"/>
    <m/>
    <d v="2023-08-11T00:00:00"/>
    <n v="-2606.5100000000002"/>
    <x v="0"/>
    <n v="7"/>
    <n v="1"/>
    <n v="2023"/>
    <x v="1"/>
  </r>
  <r>
    <s v="CLM-10723"/>
    <d v="2024-02-26T00:00:00"/>
    <d v="2024-03-30T00:00:00"/>
    <d v="2024-09-21T00:00:00"/>
    <n v="7545.9"/>
    <x v="4"/>
    <n v="7"/>
    <n v="1"/>
    <n v="2024"/>
    <x v="1"/>
  </r>
  <r>
    <s v="CLM-10597"/>
    <d v="2021-08-12T00:00:00"/>
    <d v="2021-09-02T00:00:00"/>
    <d v="2022-01-13T00:00:00"/>
    <n v="66143.289999999994"/>
    <x v="1"/>
    <n v="5"/>
    <n v="1"/>
    <n v="2022"/>
    <x v="0"/>
  </r>
  <r>
    <s v="CLM-10231"/>
    <d v="2021-01-02T00:00:00"/>
    <d v="2021-02-19T00:00:00"/>
    <d v="2021-06-24T00:00:00"/>
    <n v="43178.46"/>
    <x v="1"/>
    <n v="5"/>
    <n v="1"/>
    <n v="2021"/>
    <x v="1"/>
  </r>
  <r>
    <s v="CLM-10314"/>
    <d v="2021-08-08T00:00:00"/>
    <d v="2021-10-17T00:00:00"/>
    <d v="2022-07-19T00:00:00"/>
    <n v="30718.27"/>
    <x v="1"/>
    <n v="11"/>
    <n v="1"/>
    <n v="2022"/>
    <x v="0"/>
  </r>
  <r>
    <s v="CLM-10686"/>
    <d v="2023-11-14T00:00:00"/>
    <d v="2024-02-01T00:00:00"/>
    <d v="2025-04-25T00:00:00"/>
    <n v="82024.63"/>
    <x v="0"/>
    <n v="17"/>
    <n v="2"/>
    <n v="2025"/>
    <x v="2"/>
  </r>
  <r>
    <s v="CLM-10241"/>
    <d v="2021-01-14T00:00:00"/>
    <d v="2021-04-13T00:00:00"/>
    <d v="2022-04-27T00:00:00"/>
    <n v="-17095.22"/>
    <x v="1"/>
    <n v="15"/>
    <n v="2"/>
    <n v="2022"/>
    <x v="0"/>
  </r>
  <r>
    <s v="CLM-10726"/>
    <d v="2021-09-17T00:00:00"/>
    <d v="2021-11-10T00:00:00"/>
    <d v="2022-10-03T00:00:00"/>
    <n v="10649.69"/>
    <x v="1"/>
    <n v="13"/>
    <n v="2"/>
    <n v="2022"/>
    <x v="0"/>
  </r>
  <r>
    <s v="CLM-10515"/>
    <d v="2023-11-02T00:00:00"/>
    <d v="2023-12-02T00:00:00"/>
    <d v="2024-08-07T00:00:00"/>
    <n v="34506.300000000003"/>
    <x v="0"/>
    <n v="9"/>
    <n v="1"/>
    <n v="2024"/>
    <x v="0"/>
  </r>
  <r>
    <s v="CLM-10323"/>
    <d v="2021-10-28T00:00:00"/>
    <d v="2021-12-09T00:00:00"/>
    <d v="2022-03-12T00:00:00"/>
    <n v="62273.04"/>
    <x v="1"/>
    <n v="5"/>
    <n v="1"/>
    <n v="2022"/>
    <x v="0"/>
  </r>
  <r>
    <s v="CLM-10125"/>
    <d v="2021-02-23T00:00:00"/>
    <d v="2021-02-24T00:00:00"/>
    <d v="2022-02-05T00:00:00"/>
    <n v="74027.429999999993"/>
    <x v="1"/>
    <n v="12"/>
    <n v="1"/>
    <n v="2022"/>
    <x v="0"/>
  </r>
  <r>
    <s v="CLM-10036"/>
    <d v="2023-12-30T00:00:00"/>
    <m/>
    <d v="2024-09-16T00:00:00"/>
    <n v="32089.279999999999"/>
    <x v="0"/>
    <n v="9"/>
    <n v="1"/>
    <n v="2024"/>
    <x v="0"/>
  </r>
  <r>
    <s v="CLM-10507"/>
    <d v="2024-04-29T00:00:00"/>
    <d v="2024-05-01T00:00:00"/>
    <d v="2024-09-21T00:00:00"/>
    <n v="74522.320000000007"/>
    <x v="4"/>
    <n v="5"/>
    <n v="1"/>
    <n v="2024"/>
    <x v="1"/>
  </r>
  <r>
    <s v="CLM-10208"/>
    <d v="2021-07-08T00:00:00"/>
    <d v="2021-08-11T00:00:00"/>
    <d v="2021-09-11T00:00:00"/>
    <n v="26403.5"/>
    <x v="1"/>
    <n v="2"/>
    <n v="1"/>
    <n v="2021"/>
    <x v="1"/>
  </r>
  <r>
    <s v="CLM-10762"/>
    <d v="2022-06-10T00:00:00"/>
    <d v="2022-06-15T00:00:00"/>
    <d v="2022-12-06T00:00:00"/>
    <n v="4694.54"/>
    <x v="2"/>
    <n v="6"/>
    <n v="1"/>
    <n v="2022"/>
    <x v="1"/>
  </r>
  <r>
    <s v="CLM-10418"/>
    <d v="2021-10-26T00:00:00"/>
    <d v="2021-11-30T00:00:00"/>
    <d v="2022-09-23T00:00:00"/>
    <n v="32861.83"/>
    <x v="1"/>
    <n v="11"/>
    <n v="1"/>
    <n v="2022"/>
    <x v="0"/>
  </r>
  <r>
    <s v="CLM-10068"/>
    <d v="2024-11-18T00:00:00"/>
    <d v="2024-12-09T00:00:00"/>
    <d v="2025-01-12T00:00:00"/>
    <n v="44757.77"/>
    <x v="4"/>
    <n v="2"/>
    <n v="1"/>
    <n v="2025"/>
    <x v="0"/>
  </r>
  <r>
    <s v="CLM-10548"/>
    <d v="2022-04-03T00:00:00"/>
    <m/>
    <d v="2022-05-01T00:00:00"/>
    <n v="47086.33"/>
    <x v="2"/>
    <n v="1"/>
    <n v="1"/>
    <n v="2022"/>
    <x v="1"/>
  </r>
  <r>
    <s v="CLM-10322"/>
    <d v="2023-07-04T00:00:00"/>
    <d v="2023-09-21T00:00:00"/>
    <d v="2024-09-03T00:00:00"/>
    <n v="45484.23"/>
    <x v="0"/>
    <n v="14"/>
    <n v="2"/>
    <n v="2024"/>
    <x v="0"/>
  </r>
  <r>
    <s v="CLM-10224"/>
    <d v="2020-11-06T00:00:00"/>
    <d v="2021-01-11T00:00:00"/>
    <d v="2023-01-14T00:00:00"/>
    <n v="62790.14"/>
    <x v="3"/>
    <n v="26"/>
    <n v="3"/>
    <n v="2023"/>
    <x v="3"/>
  </r>
  <r>
    <s v="CLM-10388"/>
    <d v="2022-03-12T00:00:00"/>
    <d v="2022-03-21T00:00:00"/>
    <d v="2022-08-07T00:00:00"/>
    <n v="32422.16"/>
    <x v="2"/>
    <n v="5"/>
    <n v="1"/>
    <n v="2022"/>
    <x v="1"/>
  </r>
  <r>
    <s v="CLM-10095"/>
    <d v="2020-09-01T00:00:00"/>
    <d v="2020-11-10T00:00:00"/>
    <d v="2021-03-09T00:00:00"/>
    <n v="74390.95"/>
    <x v="3"/>
    <n v="6"/>
    <n v="1"/>
    <n v="2021"/>
    <x v="0"/>
  </r>
  <r>
    <s v="CLM-10385"/>
    <d v="2023-09-23T00:00:00"/>
    <d v="2023-11-26T00:00:00"/>
    <d v="2024-10-27T00:00:00"/>
    <n v="83630.11"/>
    <x v="0"/>
    <n v="13"/>
    <n v="2"/>
    <n v="2024"/>
    <x v="0"/>
  </r>
  <r>
    <s v="CLM-10451"/>
    <d v="2022-11-29T00:00:00"/>
    <d v="2023-01-10T00:00:00"/>
    <d v="2023-12-10T00:00:00"/>
    <n v="19616.88"/>
    <x v="2"/>
    <n v="13"/>
    <n v="2"/>
    <n v="2023"/>
    <x v="0"/>
  </r>
  <r>
    <s v="CLM-10580"/>
    <d v="2021-09-03T00:00:00"/>
    <d v="2021-10-13T00:00:00"/>
    <d v="2022-04-10T00:00:00"/>
    <n v="79238.720000000001"/>
    <x v="1"/>
    <n v="7"/>
    <n v="1"/>
    <n v="2022"/>
    <x v="0"/>
  </r>
  <r>
    <s v="CLM-10527"/>
    <d v="2020-04-29T00:00:00"/>
    <d v="2020-06-28T00:00:00"/>
    <d v="2020-10-20T00:00:00"/>
    <n v="15418.22"/>
    <x v="3"/>
    <n v="6"/>
    <n v="1"/>
    <n v="2020"/>
    <x v="1"/>
  </r>
  <r>
    <s v="CLM-10764"/>
    <d v="2022-11-07T00:00:00"/>
    <d v="2023-02-03T00:00:00"/>
    <d v="2023-09-21T00:00:00"/>
    <n v="41226.559999999998"/>
    <x v="2"/>
    <n v="10"/>
    <n v="1"/>
    <n v="2023"/>
    <x v="0"/>
  </r>
  <r>
    <s v="CLM-10234"/>
    <d v="2023-07-23T00:00:00"/>
    <d v="2023-09-20T00:00:00"/>
    <d v="2024-05-15T00:00:00"/>
    <n v="64580.85"/>
    <x v="0"/>
    <n v="10"/>
    <n v="1"/>
    <n v="2024"/>
    <x v="0"/>
  </r>
  <r>
    <s v="CLM-10289"/>
    <d v="2021-10-20T00:00:00"/>
    <d v="2021-12-22T00:00:00"/>
    <d v="2022-06-23T00:00:00"/>
    <n v="17808"/>
    <x v="1"/>
    <n v="8"/>
    <n v="1"/>
    <n v="2022"/>
    <x v="0"/>
  </r>
  <r>
    <s v="CLM-10106"/>
    <d v="2021-12-04T00:00:00"/>
    <d v="2022-01-01T00:00:00"/>
    <d v="2022-09-28T00:00:00"/>
    <n v="20756.32"/>
    <x v="1"/>
    <n v="9"/>
    <n v="1"/>
    <n v="2022"/>
    <x v="0"/>
  </r>
  <r>
    <s v="CLM-10090"/>
    <d v="2020-03-13T00:00:00"/>
    <d v="2020-06-01T00:00:00"/>
    <d v="2021-05-07T00:00:00"/>
    <n v="60647.03"/>
    <x v="3"/>
    <n v="14"/>
    <n v="2"/>
    <n v="2021"/>
    <x v="0"/>
  </r>
  <r>
    <s v="CLM-10386"/>
    <d v="2021-05-24T00:00:00"/>
    <d v="2021-05-31T00:00:00"/>
    <d v="2021-10-30T00:00:00"/>
    <n v="14159.1"/>
    <x v="1"/>
    <n v="5"/>
    <n v="1"/>
    <n v="2021"/>
    <x v="1"/>
  </r>
  <r>
    <s v="CLM-10208"/>
    <d v="2021-07-08T00:00:00"/>
    <d v="2021-08-11T00:00:00"/>
    <d v="2021-11-24T00:00:00"/>
    <n v="-19688.34"/>
    <x v="1"/>
    <n v="4"/>
    <n v="1"/>
    <n v="2021"/>
    <x v="1"/>
  </r>
  <r>
    <s v="CLM-10514"/>
    <d v="2020-07-07T00:00:00"/>
    <d v="2020-08-22T00:00:00"/>
    <d v="2021-01-04T00:00:00"/>
    <n v="-13392.52"/>
    <x v="3"/>
    <n v="6"/>
    <n v="1"/>
    <n v="2021"/>
    <x v="0"/>
  </r>
  <r>
    <s v="CLM-10109"/>
    <d v="2020-09-29T00:00:00"/>
    <d v="2020-10-24T00:00:00"/>
    <d v="2021-02-12T00:00:00"/>
    <n v="-2572.17"/>
    <x v="3"/>
    <n v="5"/>
    <n v="1"/>
    <n v="2021"/>
    <x v="0"/>
  </r>
  <r>
    <s v="CLM-10059"/>
    <d v="2021-03-28T00:00:00"/>
    <m/>
    <d v="2021-09-24T00:00:00"/>
    <n v="42622.07"/>
    <x v="1"/>
    <n v="6"/>
    <n v="1"/>
    <n v="2021"/>
    <x v="1"/>
  </r>
  <r>
    <s v="CLM-10035"/>
    <d v="2023-06-12T00:00:00"/>
    <d v="2023-08-11T00:00:00"/>
    <d v="2024-07-02T00:00:00"/>
    <n v="50990.26"/>
    <x v="0"/>
    <n v="13"/>
    <n v="2"/>
    <n v="2024"/>
    <x v="0"/>
  </r>
  <r>
    <s v="CLM-10134"/>
    <d v="2021-03-30T00:00:00"/>
    <d v="2021-05-13T00:00:00"/>
    <d v="2021-10-13T00:00:00"/>
    <n v="58742.35"/>
    <x v="1"/>
    <n v="7"/>
    <n v="1"/>
    <n v="2021"/>
    <x v="1"/>
  </r>
  <r>
    <s v="CLM-10127"/>
    <d v="2023-07-03T00:00:00"/>
    <d v="2023-07-11T00:00:00"/>
    <d v="2023-10-17T00:00:00"/>
    <n v="65438.2"/>
    <x v="0"/>
    <n v="3"/>
    <n v="1"/>
    <n v="2023"/>
    <x v="1"/>
  </r>
  <r>
    <s v="CLM-10740"/>
    <d v="2022-08-24T00:00:00"/>
    <d v="2022-10-06T00:00:00"/>
    <d v="2022-11-15T00:00:00"/>
    <n v="-15635.45"/>
    <x v="2"/>
    <n v="3"/>
    <n v="1"/>
    <n v="2022"/>
    <x v="1"/>
  </r>
  <r>
    <s v="CLM-10317"/>
    <d v="2022-04-02T00:00:00"/>
    <d v="2022-05-07T00:00:00"/>
    <d v="2022-12-08T00:00:00"/>
    <n v="-16600.93"/>
    <x v="2"/>
    <n v="8"/>
    <n v="1"/>
    <n v="2022"/>
    <x v="1"/>
  </r>
  <r>
    <s v="CLM-10619"/>
    <d v="2022-07-06T00:00:00"/>
    <d v="2022-07-10T00:00:00"/>
    <d v="2023-09-05T00:00:00"/>
    <n v="44043.1"/>
    <x v="2"/>
    <n v="14"/>
    <n v="2"/>
    <n v="2023"/>
    <x v="0"/>
  </r>
  <r>
    <s v="CLM-10492"/>
    <d v="2024-02-27T00:00:00"/>
    <d v="2024-04-15T00:00:00"/>
    <d v="2024-11-26T00:00:00"/>
    <n v="60409.04"/>
    <x v="4"/>
    <n v="9"/>
    <n v="1"/>
    <n v="2024"/>
    <x v="1"/>
  </r>
  <r>
    <s v="CLM-10562"/>
    <d v="2021-06-21T00:00:00"/>
    <m/>
    <d v="2021-11-19T00:00:00"/>
    <n v="15436.23"/>
    <x v="1"/>
    <n v="5"/>
    <n v="1"/>
    <n v="2021"/>
    <x v="1"/>
  </r>
  <r>
    <s v="CLM-10331"/>
    <d v="2020-01-09T00:00:00"/>
    <d v="2020-01-20T00:00:00"/>
    <d v="2020-07-26T00:00:00"/>
    <n v="-1405.13"/>
    <x v="3"/>
    <n v="6"/>
    <n v="1"/>
    <n v="2020"/>
    <x v="1"/>
  </r>
  <r>
    <s v="CLM-10499"/>
    <d v="2023-01-08T00:00:00"/>
    <d v="2023-03-19T00:00:00"/>
    <d v="2024-06-28T00:00:00"/>
    <n v="49474.74"/>
    <x v="0"/>
    <n v="17"/>
    <n v="2"/>
    <n v="2024"/>
    <x v="0"/>
  </r>
  <r>
    <s v="CLM-10299"/>
    <d v="2024-06-04T00:00:00"/>
    <d v="2024-07-08T00:00:00"/>
    <d v="2025-04-21T00:00:00"/>
    <n v="82849.5"/>
    <x v="4"/>
    <n v="10"/>
    <n v="1"/>
    <n v="2025"/>
    <x v="0"/>
  </r>
  <r>
    <s v="CLM-10712"/>
    <d v="2021-04-08T00:00:00"/>
    <d v="2021-04-18T00:00:00"/>
    <d v="2021-11-28T00:00:00"/>
    <n v="63535.69"/>
    <x v="1"/>
    <n v="7"/>
    <n v="1"/>
    <n v="2021"/>
    <x v="1"/>
  </r>
  <r>
    <s v="CLM-10407"/>
    <d v="2021-01-21T00:00:00"/>
    <d v="2021-04-02T00:00:00"/>
    <d v="2021-09-21T00:00:00"/>
    <n v="37323.949999999997"/>
    <x v="1"/>
    <n v="8"/>
    <n v="1"/>
    <n v="2021"/>
    <x v="1"/>
  </r>
  <r>
    <s v="CLM-10025"/>
    <d v="2023-04-02T00:00:00"/>
    <d v="2023-06-03T00:00:00"/>
    <d v="2024-02-13T00:00:00"/>
    <n v="55977.440000000002"/>
    <x v="0"/>
    <n v="10"/>
    <n v="1"/>
    <n v="2024"/>
    <x v="0"/>
  </r>
  <r>
    <s v="CLM-10764"/>
    <d v="2022-11-07T00:00:00"/>
    <d v="2023-02-03T00:00:00"/>
    <d v="2023-04-11T00:00:00"/>
    <n v="25958.15"/>
    <x v="2"/>
    <n v="5"/>
    <n v="1"/>
    <n v="2023"/>
    <x v="0"/>
  </r>
  <r>
    <s v="CLM-10659"/>
    <d v="2022-08-28T00:00:00"/>
    <d v="2022-09-06T00:00:00"/>
    <d v="2022-11-13T00:00:00"/>
    <n v="53862.64"/>
    <x v="2"/>
    <n v="3"/>
    <n v="1"/>
    <n v="2022"/>
    <x v="1"/>
  </r>
  <r>
    <s v="CLM-10487"/>
    <d v="2021-03-17T00:00:00"/>
    <d v="2021-05-22T00:00:00"/>
    <d v="2021-09-26T00:00:00"/>
    <n v="71152.259999999995"/>
    <x v="1"/>
    <n v="6"/>
    <n v="1"/>
    <n v="2021"/>
    <x v="1"/>
  </r>
  <r>
    <s v="CLM-10738"/>
    <d v="2020-12-21T00:00:00"/>
    <d v="2021-02-27T00:00:00"/>
    <d v="2021-12-17T00:00:00"/>
    <n v="78001.17"/>
    <x v="3"/>
    <n v="12"/>
    <n v="1"/>
    <n v="2021"/>
    <x v="0"/>
  </r>
  <r>
    <s v="CLM-10514"/>
    <d v="2020-07-07T00:00:00"/>
    <d v="2020-08-22T00:00:00"/>
    <d v="2021-04-18T00:00:00"/>
    <n v="27448.29"/>
    <x v="3"/>
    <n v="9"/>
    <n v="1"/>
    <n v="2021"/>
    <x v="0"/>
  </r>
  <r>
    <s v="CLM-10589"/>
    <d v="2020-01-24T00:00:00"/>
    <d v="2020-04-20T00:00:00"/>
    <d v="2020-12-17T00:00:00"/>
    <n v="8423.56"/>
    <x v="3"/>
    <n v="11"/>
    <n v="1"/>
    <n v="2020"/>
    <x v="1"/>
  </r>
  <r>
    <s v="CLM-10782"/>
    <d v="2023-12-30T00:00:00"/>
    <d v="2024-01-19T00:00:00"/>
    <d v="2025-05-03T00:00:00"/>
    <n v="63529.23"/>
    <x v="0"/>
    <n v="17"/>
    <n v="2"/>
    <n v="2025"/>
    <x v="2"/>
  </r>
  <r>
    <s v="CLM-10190"/>
    <d v="2023-03-18T00:00:00"/>
    <d v="2023-04-09T00:00:00"/>
    <d v="2023-08-09T00:00:00"/>
    <n v="-3252.84"/>
    <x v="0"/>
    <n v="5"/>
    <n v="1"/>
    <n v="2023"/>
    <x v="1"/>
  </r>
  <r>
    <s v="CLM-10148"/>
    <d v="2022-03-26T00:00:00"/>
    <m/>
    <d v="2023-01-25T00:00:00"/>
    <n v="8778.6299999999992"/>
    <x v="2"/>
    <n v="10"/>
    <n v="1"/>
    <n v="2023"/>
    <x v="0"/>
  </r>
  <r>
    <s v="CLM-10620"/>
    <d v="2024-02-20T00:00:00"/>
    <d v="2024-05-19T00:00:00"/>
    <d v="2025-03-31T00:00:00"/>
    <n v="26143.61"/>
    <x v="4"/>
    <n v="13"/>
    <n v="2"/>
    <n v="2025"/>
    <x v="0"/>
  </r>
  <r>
    <s v="CLM-10496"/>
    <d v="2020-05-19T00:00:00"/>
    <d v="2020-07-28T00:00:00"/>
    <d v="2020-11-24T00:00:00"/>
    <n v="44502.37"/>
    <x v="3"/>
    <n v="6"/>
    <n v="1"/>
    <n v="2020"/>
    <x v="1"/>
  </r>
  <r>
    <s v="CLM-10606"/>
    <d v="2022-04-02T00:00:00"/>
    <d v="2022-05-23T00:00:00"/>
    <d v="2022-12-14T00:00:00"/>
    <n v="63900.13"/>
    <x v="2"/>
    <n v="8"/>
    <n v="1"/>
    <n v="2022"/>
    <x v="1"/>
  </r>
  <r>
    <s v="CLM-10122"/>
    <d v="2022-03-21T00:00:00"/>
    <d v="2022-06-08T00:00:00"/>
    <d v="2022-11-21T00:00:00"/>
    <n v="3430.15"/>
    <x v="2"/>
    <n v="8"/>
    <n v="1"/>
    <n v="2022"/>
    <x v="1"/>
  </r>
  <r>
    <s v="CLM-10468"/>
    <d v="2023-04-09T00:00:00"/>
    <d v="2023-05-27T00:00:00"/>
    <d v="2023-03-18T00:00:00"/>
    <n v="84946.4"/>
    <x v="0"/>
    <n v="-1"/>
    <n v="0"/>
    <n v="2023"/>
    <x v="1"/>
  </r>
  <r>
    <s v="CLM-10143"/>
    <d v="2023-08-12T00:00:00"/>
    <d v="2023-09-15T00:00:00"/>
    <d v="2024-08-17T00:00:00"/>
    <n v="63254.84"/>
    <x v="0"/>
    <n v="12"/>
    <n v="1"/>
    <n v="2024"/>
    <x v="0"/>
  </r>
  <r>
    <s v="CLM-10290"/>
    <d v="2024-01-22T00:00:00"/>
    <d v="2024-02-13T00:00:00"/>
    <d v="2024-03-27T00:00:00"/>
    <n v="-14901.91"/>
    <x v="4"/>
    <n v="2"/>
    <n v="1"/>
    <n v="2024"/>
    <x v="1"/>
  </r>
  <r>
    <s v="CLM-10165"/>
    <d v="2020-11-01T00:00:00"/>
    <d v="2020-11-23T00:00:00"/>
    <d v="2021-08-30T00:00:00"/>
    <n v="5835.25"/>
    <x v="3"/>
    <n v="9"/>
    <n v="1"/>
    <n v="2021"/>
    <x v="0"/>
  </r>
  <r>
    <s v="CLM-10799"/>
    <d v="2021-09-10T00:00:00"/>
    <d v="2021-11-30T00:00:00"/>
    <d v="2023-01-04T00:00:00"/>
    <n v="67671.820000000007"/>
    <x v="1"/>
    <n v="16"/>
    <n v="2"/>
    <n v="2023"/>
    <x v="2"/>
  </r>
  <r>
    <s v="CLM-10241"/>
    <d v="2021-01-14T00:00:00"/>
    <d v="2021-04-13T00:00:00"/>
    <d v="2022-02-09T00:00:00"/>
    <n v="66173.710000000006"/>
    <x v="1"/>
    <n v="13"/>
    <n v="2"/>
    <n v="2022"/>
    <x v="0"/>
  </r>
  <r>
    <s v="CLM-10687"/>
    <d v="2023-06-22T00:00:00"/>
    <d v="2023-08-19T00:00:00"/>
    <d v="2023-11-08T00:00:00"/>
    <n v="16518.95"/>
    <x v="0"/>
    <n v="5"/>
    <n v="1"/>
    <n v="2023"/>
    <x v="1"/>
  </r>
  <r>
    <s v="CLM-10263"/>
    <d v="2022-05-02T00:00:00"/>
    <d v="2022-05-25T00:00:00"/>
    <d v="2023-02-21T00:00:00"/>
    <n v="-12450.55"/>
    <x v="2"/>
    <n v="9"/>
    <n v="1"/>
    <n v="2023"/>
    <x v="0"/>
  </r>
  <r>
    <s v="CLM-10684"/>
    <d v="2022-05-06T00:00:00"/>
    <d v="2022-06-26T00:00:00"/>
    <d v="2023-03-04T00:00:00"/>
    <n v="82349.919999999998"/>
    <x v="2"/>
    <n v="10"/>
    <n v="1"/>
    <n v="2023"/>
    <x v="0"/>
  </r>
  <r>
    <s v="CLM-10188"/>
    <d v="2020-04-03T00:00:00"/>
    <d v="2020-05-28T00:00:00"/>
    <d v="2020-07-19T00:00:00"/>
    <n v="68236.009999999995"/>
    <x v="3"/>
    <n v="3"/>
    <n v="1"/>
    <n v="2020"/>
    <x v="1"/>
  </r>
  <r>
    <s v="CLM-10002"/>
    <d v="2024-02-07T00:00:00"/>
    <d v="2024-02-13T00:00:00"/>
    <d v="2024-03-25T00:00:00"/>
    <n v="42891.74"/>
    <x v="4"/>
    <n v="1"/>
    <n v="1"/>
    <n v="2024"/>
    <x v="1"/>
  </r>
  <r>
    <s v="CLM-10615"/>
    <d v="2023-03-05T00:00:00"/>
    <d v="2023-03-13T00:00:00"/>
    <d v="2024-05-08T00:00:00"/>
    <n v="33893.15"/>
    <x v="0"/>
    <n v="14"/>
    <n v="2"/>
    <n v="2024"/>
    <x v="0"/>
  </r>
  <r>
    <s v="CLM-10177"/>
    <d v="2020-02-03T00:00:00"/>
    <d v="2020-03-24T00:00:00"/>
    <d v="2021-03-16T00:00:00"/>
    <n v="-8797.18"/>
    <x v="3"/>
    <n v="13"/>
    <n v="2"/>
    <n v="2021"/>
    <x v="0"/>
  </r>
  <r>
    <s v="CLM-10598"/>
    <d v="2021-10-02T00:00:00"/>
    <d v="2021-12-23T00:00:00"/>
    <d v="2022-04-30T00:00:00"/>
    <n v="63462.71"/>
    <x v="1"/>
    <n v="6"/>
    <n v="1"/>
    <n v="2022"/>
    <x v="0"/>
  </r>
  <r>
    <s v="CLM-10009"/>
    <d v="2022-02-22T00:00:00"/>
    <d v="2022-03-08T00:00:00"/>
    <d v="2023-06-10T00:00:00"/>
    <n v="5377.25"/>
    <x v="2"/>
    <n v="16"/>
    <n v="2"/>
    <n v="2023"/>
    <x v="0"/>
  </r>
  <r>
    <s v="CLM-10121"/>
    <d v="2024-09-12T00:00:00"/>
    <d v="2024-11-16T00:00:00"/>
    <d v="2025-01-12T00:00:00"/>
    <n v="-23203.37"/>
    <x v="4"/>
    <n v="4"/>
    <n v="1"/>
    <n v="2025"/>
    <x v="0"/>
  </r>
  <r>
    <s v="CLM-10539"/>
    <d v="2020-08-28T00:00:00"/>
    <d v="2020-11-18T00:00:00"/>
    <d v="2021-09-04T00:00:00"/>
    <n v="57347.35"/>
    <x v="3"/>
    <n v="13"/>
    <n v="2"/>
    <n v="2021"/>
    <x v="0"/>
  </r>
  <r>
    <s v="CLM-10327"/>
    <d v="2024-05-12T00:00:00"/>
    <m/>
    <d v="2025-05-17T00:00:00"/>
    <n v="80910.460000000006"/>
    <x v="4"/>
    <n v="12"/>
    <n v="1"/>
    <n v="2025"/>
    <x v="0"/>
  </r>
  <r>
    <s v="CLM-10177"/>
    <d v="2020-02-03T00:00:00"/>
    <d v="2020-03-24T00:00:00"/>
    <d v="2020-09-17T00:00:00"/>
    <n v="43098.23"/>
    <x v="3"/>
    <n v="7"/>
    <n v="1"/>
    <n v="2020"/>
    <x v="1"/>
  </r>
  <r>
    <s v="CLM-10107"/>
    <d v="2024-10-02T00:00:00"/>
    <d v="2024-11-14T00:00:00"/>
    <d v="2025-03-20T00:00:00"/>
    <n v="41712.82"/>
    <x v="4"/>
    <n v="5"/>
    <n v="1"/>
    <n v="2025"/>
    <x v="0"/>
  </r>
  <r>
    <s v="CLM-10416"/>
    <d v="2022-03-28T00:00:00"/>
    <m/>
    <d v="2022-05-18T00:00:00"/>
    <n v="54740.45"/>
    <x v="2"/>
    <n v="2"/>
    <n v="1"/>
    <n v="2022"/>
    <x v="1"/>
  </r>
  <r>
    <s v="CLM-10568"/>
    <d v="2023-03-22T00:00:00"/>
    <d v="2023-04-04T00:00:00"/>
    <d v="2024-06-10T00:00:00"/>
    <n v="-15356.7"/>
    <x v="0"/>
    <n v="15"/>
    <n v="2"/>
    <n v="2024"/>
    <x v="0"/>
  </r>
  <r>
    <s v="CLM-10239"/>
    <d v="2023-09-22T00:00:00"/>
    <d v="2023-11-08T00:00:00"/>
    <d v="2024-11-30T00:00:00"/>
    <n v="54265.69"/>
    <x v="0"/>
    <n v="14"/>
    <n v="2"/>
    <n v="2024"/>
    <x v="0"/>
  </r>
  <r>
    <s v="CLM-10451"/>
    <d v="2022-11-29T00:00:00"/>
    <d v="2023-01-10T00:00:00"/>
    <d v="2023-07-07T00:00:00"/>
    <n v="30855.119999999999"/>
    <x v="2"/>
    <n v="8"/>
    <n v="1"/>
    <n v="2023"/>
    <x v="0"/>
  </r>
  <r>
    <s v="CLM-10774"/>
    <d v="2021-09-02T00:00:00"/>
    <d v="2021-10-07T00:00:00"/>
    <d v="2022-03-20T00:00:00"/>
    <n v="71393.56"/>
    <x v="1"/>
    <n v="6"/>
    <n v="1"/>
    <n v="2022"/>
    <x v="0"/>
  </r>
  <r>
    <s v="CLM-10618"/>
    <d v="2023-06-28T00:00:00"/>
    <d v="2023-09-22T00:00:00"/>
    <d v="2023-11-19T00:00:00"/>
    <n v="72563.149999999994"/>
    <x v="0"/>
    <n v="5"/>
    <n v="1"/>
    <n v="2023"/>
    <x v="1"/>
  </r>
  <r>
    <s v="CLM-10379"/>
    <d v="2020-05-27T00:00:00"/>
    <d v="2020-08-22T00:00:00"/>
    <d v="2021-10-08T00:00:00"/>
    <n v="40513.5"/>
    <x v="3"/>
    <n v="17"/>
    <n v="2"/>
    <n v="2021"/>
    <x v="0"/>
  </r>
  <r>
    <s v="CLM-10566"/>
    <d v="2020-10-13T00:00:00"/>
    <d v="2020-12-27T00:00:00"/>
    <d v="2021-05-13T00:00:00"/>
    <n v="78193.759999999995"/>
    <x v="3"/>
    <n v="7"/>
    <n v="1"/>
    <n v="2021"/>
    <x v="0"/>
  </r>
  <r>
    <s v="CLM-10424"/>
    <d v="2022-05-03T00:00:00"/>
    <d v="2022-07-31T00:00:00"/>
    <d v="2022-08-18T00:00:00"/>
    <n v="-24948.9"/>
    <x v="2"/>
    <n v="3"/>
    <n v="1"/>
    <n v="2022"/>
    <x v="1"/>
  </r>
  <r>
    <s v="CLM-10630"/>
    <d v="2023-01-27T00:00:00"/>
    <m/>
    <d v="2023-01-13T00:00:00"/>
    <n v="9638.17"/>
    <x v="0"/>
    <n v="0"/>
    <n v="0"/>
    <n v="2023"/>
    <x v="1"/>
  </r>
  <r>
    <s v="CLM-10025"/>
    <d v="2023-04-02T00:00:00"/>
    <d v="2023-06-03T00:00:00"/>
    <d v="2023-07-23T00:00:00"/>
    <n v="38817.89"/>
    <x v="0"/>
    <n v="3"/>
    <n v="1"/>
    <n v="2023"/>
    <x v="1"/>
  </r>
  <r>
    <s v="CLM-10781"/>
    <d v="2021-12-31T00:00:00"/>
    <d v="2022-01-08T00:00:00"/>
    <d v="2022-06-30T00:00:00"/>
    <n v="2978.53"/>
    <x v="1"/>
    <n v="6"/>
    <n v="1"/>
    <n v="2022"/>
    <x v="0"/>
  </r>
  <r>
    <s v="CLM-10520"/>
    <d v="2023-01-27T00:00:00"/>
    <d v="2023-04-12T00:00:00"/>
    <d v="2023-08-28T00:00:00"/>
    <n v="26674.94"/>
    <x v="0"/>
    <n v="7"/>
    <n v="1"/>
    <n v="2023"/>
    <x v="1"/>
  </r>
  <r>
    <s v="CLM-10261"/>
    <d v="2020-07-16T00:00:00"/>
    <d v="2020-08-28T00:00:00"/>
    <d v="2020-10-04T00:00:00"/>
    <n v="73817.320000000007"/>
    <x v="3"/>
    <n v="3"/>
    <n v="1"/>
    <n v="2020"/>
    <x v="1"/>
  </r>
  <r>
    <s v="CLM-10749"/>
    <d v="2021-05-21T00:00:00"/>
    <d v="2021-06-26T00:00:00"/>
    <d v="2021-08-17T00:00:00"/>
    <n v="5741.61"/>
    <x v="1"/>
    <n v="3"/>
    <n v="1"/>
    <n v="2021"/>
    <x v="1"/>
  </r>
  <r>
    <s v="CLM-10585"/>
    <d v="2024-06-01T00:00:00"/>
    <d v="2024-08-16T00:00:00"/>
    <d v="2024-11-06T00:00:00"/>
    <n v="41620.68"/>
    <x v="4"/>
    <n v="5"/>
    <n v="1"/>
    <n v="2024"/>
    <x v="1"/>
  </r>
  <r>
    <s v="CLM-10160"/>
    <d v="2021-05-24T00:00:00"/>
    <d v="2021-06-29T00:00:00"/>
    <d v="2022-05-12T00:00:00"/>
    <n v="54700.92"/>
    <x v="1"/>
    <n v="12"/>
    <n v="1"/>
    <n v="2022"/>
    <x v="0"/>
  </r>
  <r>
    <s v="CLM-10343"/>
    <d v="2022-03-08T00:00:00"/>
    <d v="2022-05-10T00:00:00"/>
    <d v="2022-10-30T00:00:00"/>
    <n v="68435.8"/>
    <x v="2"/>
    <n v="7"/>
    <n v="1"/>
    <n v="2022"/>
    <x v="1"/>
  </r>
  <r>
    <s v="CLM-10715"/>
    <d v="2022-01-13T00:00:00"/>
    <m/>
    <d v="2022-04-28T00:00:00"/>
    <n v="64371.22"/>
    <x v="2"/>
    <n v="3"/>
    <n v="1"/>
    <n v="2022"/>
    <x v="1"/>
  </r>
  <r>
    <s v="CLM-10732"/>
    <d v="2024-04-29T00:00:00"/>
    <d v="2024-05-02T00:00:00"/>
    <d v="2025-02-07T00:00:00"/>
    <n v="16028.37"/>
    <x v="4"/>
    <n v="10"/>
    <n v="1"/>
    <n v="2025"/>
    <x v="0"/>
  </r>
  <r>
    <s v="CLM-10200"/>
    <d v="2020-01-10T00:00:00"/>
    <d v="2020-02-20T00:00:00"/>
    <d v="2021-05-10T00:00:00"/>
    <n v="81432.47"/>
    <x v="3"/>
    <n v="16"/>
    <n v="2"/>
    <n v="2021"/>
    <x v="0"/>
  </r>
  <r>
    <s v="CLM-10210"/>
    <d v="2021-07-05T00:00:00"/>
    <d v="2021-08-03T00:00:00"/>
    <d v="2022-02-07T00:00:00"/>
    <n v="78475.179999999993"/>
    <x v="1"/>
    <n v="7"/>
    <n v="1"/>
    <n v="2022"/>
    <x v="0"/>
  </r>
  <r>
    <s v="CLM-10057"/>
    <d v="2020-05-31T00:00:00"/>
    <d v="2020-06-23T00:00:00"/>
    <d v="2021-03-27T00:00:00"/>
    <n v="54040.08"/>
    <x v="3"/>
    <n v="10"/>
    <n v="1"/>
    <n v="2021"/>
    <x v="0"/>
  </r>
  <r>
    <s v="CLM-10109"/>
    <d v="2020-09-29T00:00:00"/>
    <d v="2020-10-24T00:00:00"/>
    <d v="2021-06-05T00:00:00"/>
    <n v="48874.06"/>
    <x v="3"/>
    <n v="9"/>
    <n v="1"/>
    <n v="2021"/>
    <x v="0"/>
  </r>
  <r>
    <s v="CLM-10341"/>
    <d v="2024-05-09T00:00:00"/>
    <d v="2024-06-16T00:00:00"/>
    <d v="2025-01-26T00:00:00"/>
    <n v="7462.27"/>
    <x v="4"/>
    <n v="8"/>
    <n v="1"/>
    <n v="2025"/>
    <x v="0"/>
  </r>
  <r>
    <s v="CLM-10266"/>
    <d v="2022-06-30T00:00:00"/>
    <d v="2022-08-20T00:00:00"/>
    <d v="2023-05-15T00:00:00"/>
    <n v="-24576.85"/>
    <x v="2"/>
    <n v="11"/>
    <n v="1"/>
    <n v="2023"/>
    <x v="0"/>
  </r>
  <r>
    <s v="CLM-10038"/>
    <d v="2023-10-06T00:00:00"/>
    <d v="2023-11-04T00:00:00"/>
    <d v="2024-01-20T00:00:00"/>
    <n v="5026.8599999999997"/>
    <x v="0"/>
    <n v="3"/>
    <n v="1"/>
    <n v="2024"/>
    <x v="0"/>
  </r>
  <r>
    <s v="CLM-10547"/>
    <d v="2020-11-28T00:00:00"/>
    <d v="2021-02-13T00:00:00"/>
    <d v="2021-07-06T00:00:00"/>
    <n v="14142.38"/>
    <x v="3"/>
    <n v="8"/>
    <n v="1"/>
    <n v="2021"/>
    <x v="0"/>
  </r>
  <r>
    <s v="CLM-10626"/>
    <d v="2023-01-05T00:00:00"/>
    <m/>
    <d v="2024-01-06T00:00:00"/>
    <n v="6336.95"/>
    <x v="0"/>
    <n v="12"/>
    <n v="1"/>
    <n v="2024"/>
    <x v="0"/>
  </r>
  <r>
    <s v="CLM-10519"/>
    <d v="2022-08-18T00:00:00"/>
    <d v="2022-11-15T00:00:00"/>
    <d v="2022-12-18T00:00:00"/>
    <n v="20000.25"/>
    <x v="2"/>
    <n v="4"/>
    <n v="1"/>
    <n v="2022"/>
    <x v="1"/>
  </r>
  <r>
    <s v="CLM-10034"/>
    <d v="2023-04-03T00:00:00"/>
    <d v="2023-06-25T00:00:00"/>
    <d v="2024-03-09T00:00:00"/>
    <n v="30510.32"/>
    <x v="0"/>
    <n v="11"/>
    <n v="1"/>
    <n v="2024"/>
    <x v="0"/>
  </r>
  <r>
    <s v="CLM-10362"/>
    <d v="2022-08-27T00:00:00"/>
    <d v="2022-11-24T00:00:00"/>
    <d v="2023-05-01T00:00:00"/>
    <n v="35720.61"/>
    <x v="2"/>
    <n v="9"/>
    <n v="1"/>
    <n v="2023"/>
    <x v="0"/>
  </r>
  <r>
    <s v="CLM-10626"/>
    <d v="2023-01-05T00:00:00"/>
    <m/>
    <d v="2023-05-08T00:00:00"/>
    <n v="17869.740000000002"/>
    <x v="0"/>
    <n v="4"/>
    <n v="1"/>
    <n v="2023"/>
    <x v="1"/>
  </r>
  <r>
    <s v="CLM-10251"/>
    <d v="2022-04-20T00:00:00"/>
    <d v="2022-07-13T00:00:00"/>
    <d v="2022-12-15T00:00:00"/>
    <n v="47781.08"/>
    <x v="2"/>
    <n v="8"/>
    <n v="1"/>
    <n v="2022"/>
    <x v="1"/>
  </r>
  <r>
    <s v="CLM-10727"/>
    <d v="2024-01-16T00:00:00"/>
    <d v="2024-02-10T00:00:00"/>
    <d v="2024-08-20T00:00:00"/>
    <n v="50136.68"/>
    <x v="4"/>
    <n v="7"/>
    <n v="1"/>
    <n v="2024"/>
    <x v="1"/>
  </r>
  <r>
    <s v="CLM-10068"/>
    <d v="2024-11-18T00:00:00"/>
    <d v="2024-12-09T00:00:00"/>
    <d v="2025-03-07T00:00:00"/>
    <n v="82807.02"/>
    <x v="4"/>
    <n v="4"/>
    <n v="1"/>
    <n v="2025"/>
    <x v="0"/>
  </r>
  <r>
    <s v="CLM-10525"/>
    <d v="2020-01-15T00:00:00"/>
    <d v="2020-02-13T00:00:00"/>
    <d v="2021-04-03T00:00:00"/>
    <n v="-1770.32"/>
    <x v="3"/>
    <n v="15"/>
    <n v="2"/>
    <n v="2021"/>
    <x v="0"/>
  </r>
  <r>
    <s v="CLM-10488"/>
    <d v="2022-10-12T00:00:00"/>
    <d v="2023-01-02T00:00:00"/>
    <d v="2023-09-12T00:00:00"/>
    <n v="65802.59"/>
    <x v="2"/>
    <n v="11"/>
    <n v="1"/>
    <n v="2023"/>
    <x v="0"/>
  </r>
  <r>
    <s v="CLM-10060"/>
    <d v="2023-02-13T00:00:00"/>
    <d v="2023-03-14T00:00:00"/>
    <d v="2023-10-02T00:00:00"/>
    <n v="67588.63"/>
    <x v="0"/>
    <n v="8"/>
    <n v="1"/>
    <n v="2023"/>
    <x v="1"/>
  </r>
  <r>
    <s v="CLM-10323"/>
    <d v="2021-10-28T00:00:00"/>
    <d v="2021-12-09T00:00:00"/>
    <d v="2022-03-27T00:00:00"/>
    <n v="37106.300000000003"/>
    <x v="1"/>
    <n v="5"/>
    <n v="1"/>
    <n v="2022"/>
    <x v="0"/>
  </r>
  <r>
    <s v="CLM-10753"/>
    <d v="2022-06-29T00:00:00"/>
    <d v="2022-08-01T00:00:00"/>
    <d v="2024-01-18T00:00:00"/>
    <n v="28849.27"/>
    <x v="2"/>
    <n v="19"/>
    <n v="2"/>
    <n v="2024"/>
    <x v="2"/>
  </r>
  <r>
    <s v="CLM-10592"/>
    <d v="2024-02-09T00:00:00"/>
    <d v="2024-04-20T00:00:00"/>
    <d v="2024-08-06T00:00:00"/>
    <n v="63322.1"/>
    <x v="4"/>
    <n v="6"/>
    <n v="1"/>
    <n v="2024"/>
    <x v="1"/>
  </r>
  <r>
    <s v="CLM-10695"/>
    <d v="2023-05-05T00:00:00"/>
    <d v="2023-08-01T00:00:00"/>
    <d v="2024-01-25T00:00:00"/>
    <n v="22874.880000000001"/>
    <x v="0"/>
    <n v="8"/>
    <n v="1"/>
    <n v="2024"/>
    <x v="0"/>
  </r>
  <r>
    <s v="CLM-10368"/>
    <d v="2021-10-30T00:00:00"/>
    <d v="2021-12-02T00:00:00"/>
    <d v="2022-03-20T00:00:00"/>
    <n v="39652.97"/>
    <x v="1"/>
    <n v="5"/>
    <n v="1"/>
    <n v="2022"/>
    <x v="0"/>
  </r>
  <r>
    <s v="CLM-10318"/>
    <d v="2024-09-05T00:00:00"/>
    <d v="2024-11-01T00:00:00"/>
    <d v="2025-04-19T00:00:00"/>
    <n v="72816.67"/>
    <x v="4"/>
    <n v="7"/>
    <n v="1"/>
    <n v="2025"/>
    <x v="0"/>
  </r>
  <r>
    <s v="CLM-10577"/>
    <d v="2020-09-26T00:00:00"/>
    <d v="2020-12-22T00:00:00"/>
    <d v="2021-08-13T00:00:00"/>
    <n v="77015.11"/>
    <x v="3"/>
    <n v="11"/>
    <n v="1"/>
    <n v="2021"/>
    <x v="0"/>
  </r>
  <r>
    <s v="CLM-10709"/>
    <d v="2020-11-01T00:00:00"/>
    <d v="2021-01-16T00:00:00"/>
    <d v="2021-06-13T00:00:00"/>
    <n v="3632.07"/>
    <x v="3"/>
    <n v="7"/>
    <n v="1"/>
    <n v="2021"/>
    <x v="0"/>
  </r>
  <r>
    <s v="CLM-10455"/>
    <d v="2023-09-17T00:00:00"/>
    <d v="2023-10-10T00:00:00"/>
    <d v="2025-03-03T00:00:00"/>
    <n v="69748.929999999993"/>
    <x v="0"/>
    <n v="18"/>
    <n v="2"/>
    <n v="2025"/>
    <x v="2"/>
  </r>
  <r>
    <s v="CLM-10085"/>
    <d v="2021-04-19T00:00:00"/>
    <d v="2021-07-03T00:00:00"/>
    <d v="2022-01-11T00:00:00"/>
    <n v="68456.98"/>
    <x v="1"/>
    <n v="9"/>
    <n v="1"/>
    <n v="2022"/>
    <x v="0"/>
  </r>
  <r>
    <s v="CLM-10745"/>
    <d v="2020-09-17T00:00:00"/>
    <d v="2020-11-16T00:00:00"/>
    <d v="2021-07-10T00:00:00"/>
    <n v="20460.72"/>
    <x v="3"/>
    <n v="10"/>
    <n v="1"/>
    <n v="2021"/>
    <x v="0"/>
  </r>
  <r>
    <s v="CLM-10652"/>
    <d v="2023-10-21T00:00:00"/>
    <d v="2023-12-11T00:00:00"/>
    <d v="2025-03-20T00:00:00"/>
    <n v="74471.48"/>
    <x v="0"/>
    <n v="17"/>
    <n v="2"/>
    <n v="2025"/>
    <x v="2"/>
  </r>
  <r>
    <s v="CLM-10635"/>
    <d v="2021-05-04T00:00:00"/>
    <d v="2021-05-27T00:00:00"/>
    <d v="2021-12-04T00:00:00"/>
    <n v="5527.67"/>
    <x v="1"/>
    <n v="7"/>
    <n v="1"/>
    <n v="2021"/>
    <x v="1"/>
  </r>
  <r>
    <s v="CLM-10724"/>
    <d v="2022-02-18T00:00:00"/>
    <d v="2022-02-24T00:00:00"/>
    <d v="2022-05-28T00:00:00"/>
    <n v="20891.060000000001"/>
    <x v="2"/>
    <n v="3"/>
    <n v="1"/>
    <n v="2022"/>
    <x v="1"/>
  </r>
  <r>
    <s v="CLM-10328"/>
    <d v="2024-10-02T00:00:00"/>
    <d v="2024-11-16T00:00:00"/>
    <d v="2025-03-19T00:00:00"/>
    <n v="2757.76"/>
    <x v="4"/>
    <n v="5"/>
    <n v="1"/>
    <n v="2025"/>
    <x v="0"/>
  </r>
  <r>
    <s v="CLM-10282"/>
    <d v="2022-10-12T00:00:00"/>
    <d v="2022-11-30T00:00:00"/>
    <d v="2023-10-28T00:00:00"/>
    <n v="-10116.6"/>
    <x v="2"/>
    <n v="12"/>
    <n v="1"/>
    <n v="2023"/>
    <x v="0"/>
  </r>
  <r>
    <s v="CLM-10521"/>
    <d v="2022-01-05T00:00:00"/>
    <d v="2022-02-05T00:00:00"/>
    <d v="2022-07-18T00:00:00"/>
    <n v="2225333.29"/>
    <x v="2"/>
    <n v="6"/>
    <n v="1"/>
    <n v="2022"/>
    <x v="1"/>
  </r>
  <r>
    <s v="CLM-10688"/>
    <d v="2020-01-02T00:00:00"/>
    <d v="2020-02-21T00:00:00"/>
    <d v="2021-01-30T00:00:00"/>
    <n v="26341.33"/>
    <x v="3"/>
    <n v="12"/>
    <n v="1"/>
    <n v="2021"/>
    <x v="0"/>
  </r>
  <r>
    <s v="CLM-10156"/>
    <d v="2020-11-22T00:00:00"/>
    <d v="2021-02-10T00:00:00"/>
    <d v="2021-06-20T00:00:00"/>
    <n v="83184.98"/>
    <x v="3"/>
    <n v="7"/>
    <n v="1"/>
    <n v="2021"/>
    <x v="0"/>
  </r>
  <r>
    <s v="CLM-10767"/>
    <d v="2024-08-28T00:00:00"/>
    <d v="2024-10-26T00:00:00"/>
    <d v="2025-02-14T00:00:00"/>
    <n v="55650.49"/>
    <x v="4"/>
    <n v="6"/>
    <n v="1"/>
    <n v="2025"/>
    <x v="0"/>
  </r>
  <r>
    <s v="CLM-10519"/>
    <d v="2022-08-18T00:00:00"/>
    <d v="2022-11-15T00:00:00"/>
    <d v="2023-01-25T00:00:00"/>
    <n v="75903.67"/>
    <x v="2"/>
    <n v="5"/>
    <n v="1"/>
    <n v="2023"/>
    <x v="0"/>
  </r>
  <r>
    <s v="CLM-10641"/>
    <d v="2020-01-14T00:00:00"/>
    <d v="2020-04-05T00:00:00"/>
    <d v="2020-08-08T00:00:00"/>
    <n v="74286.789999999994"/>
    <x v="3"/>
    <n v="7"/>
    <n v="1"/>
    <n v="2020"/>
    <x v="1"/>
  </r>
  <r>
    <s v="CLM-10415"/>
    <d v="2021-08-30T00:00:00"/>
    <d v="2021-11-09T00:00:00"/>
    <d v="2023-09-23T00:00:00"/>
    <n v="73362.210000000006"/>
    <x v="1"/>
    <n v="25"/>
    <n v="3"/>
    <n v="2023"/>
    <x v="2"/>
  </r>
  <r>
    <s v="CLM-10794"/>
    <d v="2024-03-04T00:00:00"/>
    <d v="2024-05-26T00:00:00"/>
    <d v="2024-07-07T00:00:00"/>
    <n v="33519.99"/>
    <x v="4"/>
    <n v="4"/>
    <n v="1"/>
    <n v="2024"/>
    <x v="1"/>
  </r>
  <r>
    <s v="CLM-10784"/>
    <d v="2022-11-25T00:00:00"/>
    <d v="2022-12-09T00:00:00"/>
    <d v="2023-01-10T00:00:00"/>
    <n v="-12540.98"/>
    <x v="2"/>
    <n v="2"/>
    <n v="1"/>
    <n v="2023"/>
    <x v="0"/>
  </r>
  <r>
    <s v="CLM-10375"/>
    <d v="2021-01-24T00:00:00"/>
    <d v="2021-04-03T00:00:00"/>
    <d v="2021-11-05T00:00:00"/>
    <n v="-13361.89"/>
    <x v="1"/>
    <n v="10"/>
    <n v="1"/>
    <n v="2021"/>
    <x v="1"/>
  </r>
  <r>
    <s v="CLM-10349"/>
    <d v="2022-02-13T00:00:00"/>
    <d v="2022-03-11T00:00:00"/>
    <d v="2023-02-28T00:00:00"/>
    <n v="78029.53"/>
    <x v="2"/>
    <n v="12"/>
    <n v="1"/>
    <n v="2023"/>
    <x v="0"/>
  </r>
  <r>
    <s v="CLM-10631"/>
    <d v="2023-12-04T00:00:00"/>
    <d v="2024-01-17T00:00:00"/>
    <d v="2024-11-18T00:00:00"/>
    <n v="13621.08"/>
    <x v="0"/>
    <n v="11"/>
    <n v="1"/>
    <n v="2024"/>
    <x v="0"/>
  </r>
  <r>
    <s v="CLM-10783"/>
    <d v="2023-05-31T00:00:00"/>
    <d v="2023-07-12T00:00:00"/>
    <d v="2024-09-02T00:00:00"/>
    <n v="2266.9899999999998"/>
    <x v="0"/>
    <n v="16"/>
    <n v="2"/>
    <n v="2024"/>
    <x v="0"/>
  </r>
  <r>
    <s v="CLM-10096"/>
    <d v="2022-01-02T00:00:00"/>
    <d v="2022-01-10T00:00:00"/>
    <d v="2022-09-26T00:00:00"/>
    <n v="13879.16"/>
    <x v="2"/>
    <n v="8"/>
    <n v="1"/>
    <n v="2022"/>
    <x v="1"/>
  </r>
  <r>
    <s v="CLM-10322"/>
    <d v="2023-07-04T00:00:00"/>
    <d v="2023-09-21T00:00:00"/>
    <d v="2024-03-16T00:00:00"/>
    <n v="20407.47"/>
    <x v="0"/>
    <n v="8"/>
    <n v="1"/>
    <n v="2024"/>
    <x v="0"/>
  </r>
  <r>
    <s v="CLM-10638"/>
    <d v="2023-06-21T00:00:00"/>
    <d v="2023-09-09T00:00:00"/>
    <d v="2024-06-19T00:00:00"/>
    <n v="41914.980000000003"/>
    <x v="0"/>
    <n v="12"/>
    <n v="1"/>
    <n v="2024"/>
    <x v="0"/>
  </r>
  <r>
    <s v="CLM-10031"/>
    <d v="2020-06-09T00:00:00"/>
    <d v="2020-08-27T00:00:00"/>
    <d v="2021-02-09T00:00:00"/>
    <n v="48075.519999999997"/>
    <x v="3"/>
    <n v="8"/>
    <n v="1"/>
    <n v="2021"/>
    <x v="0"/>
  </r>
  <r>
    <s v="CLM-10488"/>
    <d v="2022-10-12T00:00:00"/>
    <d v="2023-01-02T00:00:00"/>
    <d v="2023-04-13T00:00:00"/>
    <n v="-1606.78"/>
    <x v="2"/>
    <n v="6"/>
    <n v="1"/>
    <n v="2023"/>
    <x v="0"/>
  </r>
  <r>
    <s v="CLM-10563"/>
    <d v="2023-12-06T00:00:00"/>
    <d v="2024-02-26T00:00:00"/>
    <d v="2024-08-21T00:00:00"/>
    <n v="73275.899999999994"/>
    <x v="0"/>
    <n v="8"/>
    <n v="1"/>
    <n v="2024"/>
    <x v="0"/>
  </r>
  <r>
    <s v="CLM-10100"/>
    <d v="2024-08-17T00:00:00"/>
    <d v="2024-09-07T00:00:00"/>
    <d v="2025-03-22T00:00:00"/>
    <n v="66565.119999999995"/>
    <x v="4"/>
    <n v="7"/>
    <n v="1"/>
    <n v="2025"/>
    <x v="0"/>
  </r>
  <r>
    <s v="CLM-10718"/>
    <d v="2023-05-25T00:00:00"/>
    <d v="2023-06-09T00:00:00"/>
    <d v="2023-10-22T00:00:00"/>
    <n v="10068.870000000001"/>
    <x v="0"/>
    <n v="5"/>
    <n v="1"/>
    <n v="2023"/>
    <x v="1"/>
  </r>
  <r>
    <s v="CLM-10610"/>
    <d v="2023-10-29T00:00:00"/>
    <d v="2023-11-12T00:00:00"/>
    <d v="2024-11-14T00:00:00"/>
    <n v="66169.27"/>
    <x v="0"/>
    <n v="13"/>
    <n v="2"/>
    <n v="2024"/>
    <x v="0"/>
  </r>
  <r>
    <s v="CLM-10606"/>
    <d v="2022-04-02T00:00:00"/>
    <d v="2022-05-23T00:00:00"/>
    <d v="2022-09-07T00:00:00"/>
    <n v="74007.929999999993"/>
    <x v="2"/>
    <n v="5"/>
    <n v="1"/>
    <n v="2022"/>
    <x v="1"/>
  </r>
  <r>
    <s v="CLM-10316"/>
    <d v="2020-03-24T00:00:00"/>
    <d v="2020-04-19T00:00:00"/>
    <d v="2020-06-28T00:00:00"/>
    <n v="81280.479999999996"/>
    <x v="3"/>
    <n v="3"/>
    <n v="1"/>
    <n v="2020"/>
    <x v="1"/>
  </r>
  <r>
    <s v="CLM-10737"/>
    <d v="2020-02-19T00:00:00"/>
    <d v="2020-04-14T00:00:00"/>
    <d v="2021-05-10T00:00:00"/>
    <n v="84043.839999999997"/>
    <x v="3"/>
    <n v="15"/>
    <n v="2"/>
    <n v="2021"/>
    <x v="0"/>
  </r>
  <r>
    <s v="CLM-10047"/>
    <d v="2024-11-15T00:00:00"/>
    <d v="2024-11-25T00:00:00"/>
    <d v="2025-03-31T00:00:00"/>
    <n v="61043"/>
    <x v="4"/>
    <n v="4"/>
    <n v="1"/>
    <n v="2025"/>
    <x v="0"/>
  </r>
  <r>
    <s v="CLM-10525"/>
    <d v="2020-01-15T00:00:00"/>
    <d v="2020-02-13T00:00:00"/>
    <d v="2020-09-03T00:00:00"/>
    <n v="61634.61"/>
    <x v="3"/>
    <n v="8"/>
    <n v="1"/>
    <n v="2020"/>
    <x v="1"/>
  </r>
  <r>
    <s v="CLM-10168"/>
    <d v="2023-07-28T00:00:00"/>
    <d v="2023-08-10T00:00:00"/>
    <d v="2024-03-03T00:00:00"/>
    <n v="62948.31"/>
    <x v="0"/>
    <n v="8"/>
    <n v="1"/>
    <n v="2024"/>
    <x v="0"/>
  </r>
  <r>
    <s v="CLM-10145"/>
    <d v="2020-01-21T00:00:00"/>
    <d v="2020-03-11T00:00:00"/>
    <d v="2020-08-30T00:00:00"/>
    <n v="9197.16"/>
    <x v="3"/>
    <n v="7"/>
    <n v="1"/>
    <n v="2020"/>
    <x v="1"/>
  </r>
  <r>
    <s v="CLM-10303"/>
    <d v="2021-03-20T00:00:00"/>
    <d v="2021-04-27T00:00:00"/>
    <d v="2021-05-22T00:00:00"/>
    <n v="76083.58"/>
    <x v="1"/>
    <n v="2"/>
    <n v="1"/>
    <n v="2021"/>
    <x v="1"/>
  </r>
  <r>
    <s v="CLM-10484"/>
    <d v="2023-01-23T00:00:00"/>
    <d v="2023-03-30T00:00:00"/>
    <d v="2023-11-04T00:00:00"/>
    <n v="49235.99"/>
    <x v="0"/>
    <n v="10"/>
    <n v="1"/>
    <n v="2023"/>
    <x v="1"/>
  </r>
  <r>
    <s v="CLM-10112"/>
    <d v="2022-08-24T00:00:00"/>
    <d v="2022-10-23T00:00:00"/>
    <d v="2024-03-13T00:00:00"/>
    <n v="42755.92"/>
    <x v="2"/>
    <n v="19"/>
    <n v="2"/>
    <n v="2024"/>
    <x v="2"/>
  </r>
  <r>
    <s v="CLM-10622"/>
    <d v="2023-03-12T00:00:00"/>
    <d v="2023-03-27T00:00:00"/>
    <d v="2024-02-26T00:00:00"/>
    <n v="-10843.24"/>
    <x v="0"/>
    <n v="11"/>
    <n v="1"/>
    <n v="2024"/>
    <x v="0"/>
  </r>
  <r>
    <s v="CLM-10684"/>
    <d v="2022-05-06T00:00:00"/>
    <d v="2022-06-26T00:00:00"/>
    <d v="2023-09-28T00:00:00"/>
    <n v="72265.399999999994"/>
    <x v="2"/>
    <n v="16"/>
    <n v="2"/>
    <n v="2023"/>
    <x v="0"/>
  </r>
  <r>
    <s v="CLM-10426"/>
    <d v="2023-10-14T00:00:00"/>
    <d v="2023-11-25T00:00:00"/>
    <d v="2024-03-29T00:00:00"/>
    <n v="35200.870000000003"/>
    <x v="0"/>
    <n v="5"/>
    <n v="1"/>
    <n v="2024"/>
    <x v="0"/>
  </r>
  <r>
    <s v="CLM-10421"/>
    <d v="2021-02-14T00:00:00"/>
    <d v="2021-03-17T00:00:00"/>
    <d v="2021-09-17T00:00:00"/>
    <n v="-23131.89"/>
    <x v="1"/>
    <n v="7"/>
    <n v="1"/>
    <n v="2021"/>
    <x v="1"/>
  </r>
  <r>
    <s v="CLM-10103"/>
    <d v="2022-07-01T00:00:00"/>
    <d v="2022-07-12T00:00:00"/>
    <d v="2023-06-07T00:00:00"/>
    <n v="72138.789999999994"/>
    <x v="2"/>
    <n v="11"/>
    <n v="1"/>
    <n v="2023"/>
    <x v="0"/>
  </r>
  <r>
    <s v="CLM-10139"/>
    <d v="2024-01-29T00:00:00"/>
    <d v="2024-02-27T00:00:00"/>
    <d v="2024-06-12T00:00:00"/>
    <n v="32572.67"/>
    <x v="4"/>
    <n v="5"/>
    <n v="1"/>
    <n v="2024"/>
    <x v="1"/>
  </r>
  <r>
    <s v="CLM-10405"/>
    <d v="2021-01-28T00:00:00"/>
    <d v="2021-03-04T00:00:00"/>
    <d v="2023-05-17T00:00:00"/>
    <n v="-21003.39"/>
    <x v="1"/>
    <n v="28"/>
    <n v="3"/>
    <n v="2023"/>
    <x v="2"/>
  </r>
  <r>
    <s v="CLM-10790"/>
    <d v="2024-09-23T00:00:00"/>
    <d v="2024-10-26T00:00:00"/>
    <d v="2025-01-03T00:00:00"/>
    <n v="14605.31"/>
    <x v="4"/>
    <n v="4"/>
    <n v="1"/>
    <n v="2025"/>
    <x v="0"/>
  </r>
  <r>
    <s v="CLM-10307"/>
    <d v="2020-01-21T00:00:00"/>
    <d v="2020-03-16T00:00:00"/>
    <d v="2020-04-18T00:00:00"/>
    <n v="42423.28"/>
    <x v="3"/>
    <n v="3"/>
    <n v="1"/>
    <n v="2020"/>
    <x v="1"/>
  </r>
  <r>
    <s v="CLM-10122"/>
    <d v="2022-03-21T00:00:00"/>
    <d v="2022-06-08T00:00:00"/>
    <d v="2023-02-02T00:00:00"/>
    <n v="79631.16"/>
    <x v="2"/>
    <n v="11"/>
    <n v="1"/>
    <n v="2023"/>
    <x v="0"/>
  </r>
  <r>
    <s v="CLM-10615"/>
    <d v="2023-03-05T00:00:00"/>
    <d v="2023-03-13T00:00:00"/>
    <d v="2023-07-17T00:00:00"/>
    <n v="17104.439999999999"/>
    <x v="0"/>
    <n v="4"/>
    <n v="1"/>
    <n v="2023"/>
    <x v="1"/>
  </r>
  <r>
    <s v="CLM-10308"/>
    <d v="2023-06-13T00:00:00"/>
    <d v="2023-08-18T00:00:00"/>
    <d v="2024-12-30T00:00:00"/>
    <n v="-16640.03"/>
    <x v="0"/>
    <n v="18"/>
    <n v="2"/>
    <n v="2024"/>
    <x v="0"/>
  </r>
  <r>
    <s v="CLM-10225"/>
    <d v="2022-12-14T00:00:00"/>
    <d v="2023-02-01T00:00:00"/>
    <d v="2024-01-27T00:00:00"/>
    <n v="-23066.75"/>
    <x v="2"/>
    <n v="13"/>
    <n v="2"/>
    <n v="2024"/>
    <x v="2"/>
  </r>
  <r>
    <s v="CLM-10234"/>
    <d v="2023-07-23T00:00:00"/>
    <d v="2023-09-20T00:00:00"/>
    <d v="2023-11-04T00:00:00"/>
    <n v="49827.43"/>
    <x v="0"/>
    <n v="4"/>
    <n v="1"/>
    <n v="2023"/>
    <x v="1"/>
  </r>
  <r>
    <s v="CLM-10675"/>
    <d v="2023-03-27T00:00:00"/>
    <d v="2023-04-08T00:00:00"/>
    <d v="2024-06-27T00:00:00"/>
    <n v="11334.56"/>
    <x v="0"/>
    <n v="15"/>
    <n v="2"/>
    <n v="2024"/>
    <x v="0"/>
  </r>
  <r>
    <s v="CLM-10677"/>
    <d v="2024-05-25T00:00:00"/>
    <d v="2024-07-30T00:00:00"/>
    <d v="2025-01-31T00:00:00"/>
    <n v="71059.490000000005"/>
    <x v="4"/>
    <n v="8"/>
    <n v="1"/>
    <n v="2025"/>
    <x v="0"/>
  </r>
  <r>
    <s v="CLM-10570"/>
    <d v="2021-09-30T00:00:00"/>
    <d v="2021-12-06T00:00:00"/>
    <d v="2022-12-05T00:00:00"/>
    <n v="66496.28"/>
    <x v="1"/>
    <n v="15"/>
    <n v="2"/>
    <n v="2022"/>
    <x v="0"/>
  </r>
  <r>
    <s v="CLM-10187"/>
    <d v="2020-07-28T00:00:00"/>
    <d v="2020-08-05T00:00:00"/>
    <d v="2021-08-28T00:00:00"/>
    <n v="54938.32"/>
    <x v="3"/>
    <n v="13"/>
    <n v="2"/>
    <n v="2021"/>
    <x v="0"/>
  </r>
  <r>
    <s v="CLM-10584"/>
    <d v="2020-04-23T00:00:00"/>
    <d v="2020-05-02T00:00:00"/>
    <d v="2020-11-20T00:00:00"/>
    <n v="25207.71"/>
    <x v="3"/>
    <n v="7"/>
    <n v="1"/>
    <n v="2020"/>
    <x v="1"/>
  </r>
  <r>
    <s v="CLM-10472"/>
    <d v="2023-03-07T00:00:00"/>
    <d v="2023-05-19T00:00:00"/>
    <d v="2024-05-05T00:00:00"/>
    <n v="24013.29"/>
    <x v="0"/>
    <n v="14"/>
    <n v="2"/>
    <n v="2024"/>
    <x v="0"/>
  </r>
  <r>
    <s v="CLM-10694"/>
    <d v="2020-10-10T00:00:00"/>
    <d v="2020-10-13T00:00:00"/>
    <d v="2021-07-18T00:00:00"/>
    <n v="35825.620000000003"/>
    <x v="3"/>
    <n v="9"/>
    <n v="1"/>
    <n v="2021"/>
    <x v="0"/>
  </r>
  <r>
    <s v="CLM-10596"/>
    <d v="2023-07-05T00:00:00"/>
    <d v="2023-07-12T00:00:00"/>
    <d v="2023-09-08T00:00:00"/>
    <n v="48925.55"/>
    <x v="0"/>
    <n v="2"/>
    <n v="1"/>
    <n v="2023"/>
    <x v="1"/>
  </r>
  <r>
    <s v="CLM-10343"/>
    <d v="2022-03-08T00:00:00"/>
    <d v="2022-05-10T00:00:00"/>
    <d v="2023-10-16T00:00:00"/>
    <n v="-1989.02"/>
    <x v="2"/>
    <n v="19"/>
    <n v="2"/>
    <n v="2023"/>
    <x v="0"/>
  </r>
  <r>
    <s v="CLM-10674"/>
    <d v="2024-02-22T00:00:00"/>
    <d v="2024-04-09T00:00:00"/>
    <d v="2025-01-12T00:00:00"/>
    <n v="-317444.92"/>
    <x v="4"/>
    <n v="11"/>
    <n v="1"/>
    <n v="2025"/>
    <x v="0"/>
  </r>
  <r>
    <s v="CLM-10173"/>
    <d v="2021-10-05T00:00:00"/>
    <d v="2021-12-04T00:00:00"/>
    <d v="2023-04-18T00:00:00"/>
    <n v="66514.289999999994"/>
    <x v="1"/>
    <n v="18"/>
    <n v="2"/>
    <n v="2023"/>
    <x v="2"/>
  </r>
  <r>
    <s v="CLM-10458"/>
    <d v="2022-10-02T00:00:00"/>
    <d v="2022-10-24T00:00:00"/>
    <d v="2023-10-25T00:00:00"/>
    <n v="-9764.3700000000008"/>
    <x v="2"/>
    <n v="12"/>
    <n v="1"/>
    <n v="2023"/>
    <x v="0"/>
  </r>
  <r>
    <s v="CLM-10106"/>
    <d v="2021-12-04T00:00:00"/>
    <d v="2022-01-01T00:00:00"/>
    <d v="2023-03-31T00:00:00"/>
    <n v="52000.06"/>
    <x v="1"/>
    <n v="15"/>
    <n v="2"/>
    <n v="2023"/>
    <x v="2"/>
  </r>
  <r>
    <s v="CLM-10417"/>
    <d v="2022-01-24T00:00:00"/>
    <d v="2022-03-03T00:00:00"/>
    <d v="2022-11-22T00:00:00"/>
    <n v="-23750.240000000002"/>
    <x v="2"/>
    <n v="10"/>
    <n v="1"/>
    <n v="2022"/>
    <x v="1"/>
  </r>
  <r>
    <s v="CLM-10719"/>
    <d v="2021-10-22T00:00:00"/>
    <d v="2021-12-19T00:00:00"/>
    <d v="2022-03-23T00:00:00"/>
    <n v="78689.05"/>
    <x v="1"/>
    <n v="5"/>
    <n v="1"/>
    <n v="2022"/>
    <x v="0"/>
  </r>
  <r>
    <s v="CLM-10098"/>
    <d v="2023-05-17T00:00:00"/>
    <d v="2023-07-25T00:00:00"/>
    <d v="2023-10-02T00:00:00"/>
    <n v="-19208.87"/>
    <x v="0"/>
    <n v="5"/>
    <n v="1"/>
    <n v="2023"/>
    <x v="1"/>
  </r>
  <r>
    <s v="CLM-10322"/>
    <d v="2023-07-04T00:00:00"/>
    <d v="2023-09-21T00:00:00"/>
    <d v="2024-06-11T00:00:00"/>
    <n v="58362"/>
    <x v="0"/>
    <n v="11"/>
    <n v="1"/>
    <n v="2024"/>
    <x v="0"/>
  </r>
  <r>
    <s v="CLM-10223"/>
    <d v="2020-06-27T00:00:00"/>
    <d v="2020-08-09T00:00:00"/>
    <d v="2021-04-01T00:00:00"/>
    <n v="80708.27"/>
    <x v="3"/>
    <n v="10"/>
    <n v="1"/>
    <n v="2021"/>
    <x v="0"/>
  </r>
  <r>
    <s v="CLM-10574"/>
    <d v="2023-10-04T00:00:00"/>
    <d v="2023-10-24T00:00:00"/>
    <d v="2024-02-19T00:00:00"/>
    <n v="10439.73"/>
    <x v="0"/>
    <n v="4"/>
    <n v="1"/>
    <n v="2024"/>
    <x v="0"/>
  </r>
  <r>
    <s v="CLM-10264"/>
    <d v="2021-05-07T00:00:00"/>
    <d v="2021-06-21T00:00:00"/>
    <d v="2021-10-29T00:00:00"/>
    <n v="1150110.28"/>
    <x v="1"/>
    <n v="5"/>
    <n v="1"/>
    <n v="2021"/>
    <x v="1"/>
  </r>
  <r>
    <s v="CLM-10444"/>
    <d v="2021-02-15T00:00:00"/>
    <d v="2021-04-08T00:00:00"/>
    <d v="2021-09-22T00:00:00"/>
    <n v="83012.759999999995"/>
    <x v="1"/>
    <n v="7"/>
    <n v="1"/>
    <n v="2021"/>
    <x v="1"/>
  </r>
  <r>
    <s v="CLM-10397"/>
    <d v="2022-01-28T00:00:00"/>
    <d v="2022-02-23T00:00:00"/>
    <d v="2022-06-07T00:00:00"/>
    <n v="12268.68"/>
    <x v="2"/>
    <n v="5"/>
    <n v="1"/>
    <n v="2022"/>
    <x v="1"/>
  </r>
  <r>
    <s v="CLM-10212"/>
    <d v="2024-09-13T00:00:00"/>
    <d v="2024-09-22T00:00:00"/>
    <d v="2025-04-04T00:00:00"/>
    <n v="62771.56"/>
    <x v="4"/>
    <n v="7"/>
    <n v="1"/>
    <n v="2025"/>
    <x v="0"/>
  </r>
  <r>
    <s v="CLM-10644"/>
    <d v="2023-02-01T00:00:00"/>
    <d v="2023-02-17T00:00:00"/>
    <d v="2024-01-17T00:00:00"/>
    <n v="9104.86"/>
    <x v="0"/>
    <n v="11"/>
    <n v="1"/>
    <n v="2024"/>
    <x v="0"/>
  </r>
  <r>
    <s v="CLM-10475"/>
    <d v="2022-10-21T00:00:00"/>
    <d v="2022-12-25T00:00:00"/>
    <d v="2024-06-13T00:00:00"/>
    <n v="84916.71"/>
    <x v="2"/>
    <n v="20"/>
    <n v="2"/>
    <n v="2024"/>
    <x v="2"/>
  </r>
  <r>
    <s v="CLM-10062"/>
    <d v="2022-07-26T00:00:00"/>
    <d v="2022-08-21T00:00:00"/>
    <d v="2023-03-08T00:00:00"/>
    <n v="56754.38"/>
    <x v="2"/>
    <n v="8"/>
    <n v="1"/>
    <n v="2023"/>
    <x v="0"/>
  </r>
  <r>
    <s v="CLM-10002"/>
    <d v="2024-02-07T00:00:00"/>
    <d v="2024-02-13T00:00:00"/>
    <d v="2024-05-14T00:00:00"/>
    <n v="36587.29"/>
    <x v="4"/>
    <n v="3"/>
    <n v="1"/>
    <n v="2024"/>
    <x v="1"/>
  </r>
  <r>
    <s v="CLM-10220"/>
    <d v="2022-09-04T00:00:00"/>
    <d v="2022-09-22T00:00:00"/>
    <d v="2023-04-16T00:00:00"/>
    <n v="34695.379999999997"/>
    <x v="2"/>
    <n v="7"/>
    <n v="1"/>
    <n v="2023"/>
    <x v="0"/>
  </r>
  <r>
    <s v="CLM-10364"/>
    <d v="2024-06-19T00:00:00"/>
    <d v="2024-07-06T00:00:00"/>
    <d v="2024-11-26T00:00:00"/>
    <n v="18127.93"/>
    <x v="4"/>
    <n v="5"/>
    <n v="1"/>
    <n v="2024"/>
    <x v="1"/>
  </r>
  <r>
    <s v="CLM-10213"/>
    <d v="2023-06-19T00:00:00"/>
    <d v="2023-07-13T00:00:00"/>
    <d v="2024-01-19T00:00:00"/>
    <n v="57676.98"/>
    <x v="0"/>
    <n v="7"/>
    <n v="1"/>
    <n v="2024"/>
    <x v="0"/>
  </r>
  <r>
    <s v="CLM-10263"/>
    <d v="2022-05-02T00:00:00"/>
    <d v="2022-05-25T00:00:00"/>
    <d v="2022-07-03T00:00:00"/>
    <n v="39147.18"/>
    <x v="2"/>
    <n v="2"/>
    <n v="1"/>
    <n v="2022"/>
    <x v="1"/>
  </r>
  <r>
    <s v="CLM-10638"/>
    <d v="2023-06-21T00:00:00"/>
    <d v="2023-09-09T00:00:00"/>
    <d v="2024-09-26T00:00:00"/>
    <n v="9050.34"/>
    <x v="0"/>
    <n v="15"/>
    <n v="2"/>
    <n v="2024"/>
    <x v="0"/>
  </r>
  <r>
    <s v="CLM-10176"/>
    <d v="2023-10-06T00:00:00"/>
    <d v="2023-11-14T00:00:00"/>
    <d v="2024-04-22T00:00:00"/>
    <n v="-10042.370000000001"/>
    <x v="0"/>
    <n v="6"/>
    <n v="1"/>
    <n v="2024"/>
    <x v="0"/>
  </r>
  <r>
    <s v="CLM-10229"/>
    <d v="2022-11-22T00:00:00"/>
    <d v="2023-01-23T00:00:00"/>
    <d v="2023-04-14T00:00:00"/>
    <n v="8928.56"/>
    <x v="2"/>
    <n v="5"/>
    <n v="1"/>
    <n v="2023"/>
    <x v="0"/>
  </r>
  <r>
    <s v="CLM-10196"/>
    <d v="2022-01-05T00:00:00"/>
    <d v="2022-02-18T00:00:00"/>
    <d v="2022-09-16T00:00:00"/>
    <n v="36898.47"/>
    <x v="2"/>
    <n v="8"/>
    <n v="1"/>
    <n v="2022"/>
    <x v="1"/>
  </r>
  <r>
    <s v="CLM-10293"/>
    <d v="2024-12-14T00:00:00"/>
    <d v="2025-02-08T00:00:00"/>
    <d v="2025-05-09T00:00:00"/>
    <n v="4779.4399999999996"/>
    <x v="4"/>
    <n v="5"/>
    <n v="1"/>
    <n v="2025"/>
    <x v="0"/>
  </r>
  <r>
    <s v="CLM-10025"/>
    <d v="2023-04-02T00:00:00"/>
    <d v="2023-06-03T00:00:00"/>
    <d v="2023-08-10T00:00:00"/>
    <n v="9237.73"/>
    <x v="0"/>
    <n v="4"/>
    <n v="1"/>
    <n v="2023"/>
    <x v="1"/>
  </r>
  <r>
    <s v="CLM-10227"/>
    <d v="2023-10-02T00:00:00"/>
    <m/>
    <d v="2024-11-21T00:00:00"/>
    <n v="40929.160000000003"/>
    <x v="0"/>
    <n v="13"/>
    <n v="2"/>
    <n v="2024"/>
    <x v="0"/>
  </r>
  <r>
    <s v="CLM-10181"/>
    <d v="2024-10-30T00:00:00"/>
    <d v="2024-11-23T00:00:00"/>
    <d v="2024-12-15T00:00:00"/>
    <n v="61945.67"/>
    <x v="4"/>
    <n v="2"/>
    <n v="1"/>
    <n v="2024"/>
    <x v="1"/>
  </r>
  <r>
    <s v="CLM-10358"/>
    <d v="2020-05-24T00:00:00"/>
    <d v="2020-08-17T00:00:00"/>
    <d v="2021-01-13T00:00:00"/>
    <n v="12500.6"/>
    <x v="3"/>
    <n v="8"/>
    <n v="1"/>
    <n v="2021"/>
    <x v="0"/>
  </r>
  <r>
    <s v="CLM-10713"/>
    <d v="2021-07-28T00:00:00"/>
    <d v="2021-07-30T00:00:00"/>
    <d v="2022-05-18T00:00:00"/>
    <n v="40714.629999999997"/>
    <x v="1"/>
    <n v="10"/>
    <n v="1"/>
    <n v="2022"/>
    <x v="0"/>
  </r>
  <r>
    <s v="CLM-10216"/>
    <d v="2020-12-26T00:00:00"/>
    <d v="2021-01-26T00:00:00"/>
    <d v="2021-05-23T00:00:00"/>
    <n v="78705.990000000005"/>
    <x v="3"/>
    <n v="5"/>
    <n v="1"/>
    <n v="2021"/>
    <x v="0"/>
  </r>
  <r>
    <s v="CLM-10786"/>
    <d v="2023-02-07T00:00:00"/>
    <d v="2023-04-13T00:00:00"/>
    <d v="2023-08-14T00:00:00"/>
    <n v="6300.79"/>
    <x v="0"/>
    <n v="6"/>
    <n v="1"/>
    <n v="2023"/>
    <x v="1"/>
  </r>
  <r>
    <s v="CLM-10531"/>
    <d v="2023-11-14T00:00:00"/>
    <d v="2023-11-26T00:00:00"/>
    <d v="2024-01-20T00:00:00"/>
    <n v="77260.789999999994"/>
    <x v="0"/>
    <n v="2"/>
    <n v="1"/>
    <n v="2024"/>
    <x v="0"/>
  </r>
  <r>
    <s v="CLM-10357"/>
    <d v="2023-01-29T00:00:00"/>
    <d v="2023-04-03T00:00:00"/>
    <d v="2023-08-10T00:00:00"/>
    <n v="-23705.45"/>
    <x v="0"/>
    <n v="7"/>
    <n v="1"/>
    <n v="2023"/>
    <x v="1"/>
  </r>
  <r>
    <s v="CLM-10736"/>
    <d v="2021-11-10T00:00:00"/>
    <d v="2022-01-29T00:00:00"/>
    <d v="2023-02-20T00:00:00"/>
    <n v="55309.43"/>
    <x v="1"/>
    <n v="15"/>
    <n v="2"/>
    <n v="2023"/>
    <x v="2"/>
  </r>
  <r>
    <s v="CLM-10082"/>
    <d v="2023-06-17T00:00:00"/>
    <d v="2023-08-04T00:00:00"/>
    <d v="2023-10-11T00:00:00"/>
    <n v="70667.19"/>
    <x v="0"/>
    <n v="4"/>
    <n v="1"/>
    <n v="2023"/>
    <x v="1"/>
  </r>
  <r>
    <s v="CLM-10721"/>
    <d v="2022-05-11T00:00:00"/>
    <m/>
    <d v="2023-12-14T00:00:00"/>
    <n v="42434.63"/>
    <x v="2"/>
    <n v="19"/>
    <n v="2"/>
    <n v="2023"/>
    <x v="0"/>
  </r>
  <r>
    <s v="CLM-10045"/>
    <d v="2021-10-18T00:00:00"/>
    <d v="2021-11-28T00:00:00"/>
    <d v="2022-04-29T00:00:00"/>
    <n v="11370.47"/>
    <x v="1"/>
    <n v="6"/>
    <n v="1"/>
    <n v="2022"/>
    <x v="0"/>
  </r>
  <r>
    <s v="CLM-10714"/>
    <d v="2023-03-03T00:00:00"/>
    <d v="2023-03-04T00:00:00"/>
    <d v="2024-06-16T00:00:00"/>
    <n v="42364.33"/>
    <x v="0"/>
    <n v="15"/>
    <n v="2"/>
    <n v="2024"/>
    <x v="0"/>
  </r>
  <r>
    <s v="CLM-10008"/>
    <d v="2022-06-09T00:00:00"/>
    <d v="2022-08-03T00:00:00"/>
    <d v="2024-03-24T00:00:00"/>
    <n v="17637.490000000002"/>
    <x v="2"/>
    <n v="21"/>
    <n v="2"/>
    <n v="2024"/>
    <x v="2"/>
  </r>
  <r>
    <s v="CLM-10212"/>
    <d v="2024-09-13T00:00:00"/>
    <d v="2024-09-22T00:00:00"/>
    <d v="2024-10-08T00:00:00"/>
    <n v="38641.72"/>
    <x v="4"/>
    <n v="1"/>
    <n v="1"/>
    <n v="2024"/>
    <x v="1"/>
  </r>
  <r>
    <s v="CLM-10437"/>
    <d v="2021-01-18T00:00:00"/>
    <d v="2021-01-30T00:00:00"/>
    <d v="2021-07-15T00:00:00"/>
    <n v="74217.33"/>
    <x v="1"/>
    <n v="6"/>
    <n v="1"/>
    <n v="2021"/>
    <x v="1"/>
  </r>
  <r>
    <s v="CLM-10521"/>
    <d v="2022-01-05T00:00:00"/>
    <d v="2022-02-05T00:00:00"/>
    <d v="2023-03-15T00:00:00"/>
    <n v="-15327.78"/>
    <x v="2"/>
    <n v="14"/>
    <n v="2"/>
    <n v="2023"/>
    <x v="0"/>
  </r>
  <r>
    <s v="CLM-10013"/>
    <d v="2022-08-29T00:00:00"/>
    <d v="2022-11-06T00:00:00"/>
    <d v="2024-03-22T00:00:00"/>
    <n v="51353.61"/>
    <x v="2"/>
    <n v="19"/>
    <n v="2"/>
    <n v="2024"/>
    <x v="2"/>
  </r>
  <r>
    <s v="CLM-10108"/>
    <d v="2020-10-11T00:00:00"/>
    <d v="2020-12-27T00:00:00"/>
    <d v="2021-06-16T00:00:00"/>
    <n v="4809.5200000000004"/>
    <x v="3"/>
    <n v="8"/>
    <n v="1"/>
    <n v="2021"/>
    <x v="0"/>
  </r>
  <r>
    <s v="CLM-10465"/>
    <d v="2021-08-14T00:00:00"/>
    <d v="2021-11-02T00:00:00"/>
    <d v="2022-07-09T00:00:00"/>
    <n v="-16336.47"/>
    <x v="1"/>
    <n v="11"/>
    <n v="1"/>
    <n v="2022"/>
    <x v="0"/>
  </r>
  <r>
    <s v="CLM-10207"/>
    <d v="2021-06-11T00:00:00"/>
    <d v="2021-09-06T00:00:00"/>
    <d v="2021-10-19T00:00:00"/>
    <n v="13592.53"/>
    <x v="1"/>
    <n v="4"/>
    <n v="1"/>
    <n v="2021"/>
    <x v="1"/>
  </r>
  <r>
    <s v="CLM-10696"/>
    <d v="2023-06-01T00:00:00"/>
    <d v="2023-07-04T00:00:00"/>
    <d v="2023-10-17T00:00:00"/>
    <n v="83361.039999999994"/>
    <x v="0"/>
    <n v="4"/>
    <n v="1"/>
    <n v="2023"/>
    <x v="1"/>
  </r>
  <r>
    <s v="CLM-10703"/>
    <d v="2020-11-03T00:00:00"/>
    <d v="2021-01-20T00:00:00"/>
    <d v="2021-05-20T00:00:00"/>
    <n v="34552.519999999997"/>
    <x v="3"/>
    <n v="6"/>
    <n v="1"/>
    <n v="2021"/>
    <x v="0"/>
  </r>
  <r>
    <s v="CLM-10785"/>
    <d v="2021-05-19T00:00:00"/>
    <d v="2021-08-03T00:00:00"/>
    <d v="2022-02-13T00:00:00"/>
    <n v="39038.18"/>
    <x v="1"/>
    <n v="9"/>
    <n v="1"/>
    <n v="2022"/>
    <x v="0"/>
  </r>
  <r>
    <s v="CLM-10223"/>
    <d v="2020-06-27T00:00:00"/>
    <d v="2020-08-09T00:00:00"/>
    <d v="2021-03-03T00:00:00"/>
    <n v="40006.78"/>
    <x v="3"/>
    <n v="9"/>
    <n v="1"/>
    <n v="2021"/>
    <x v="0"/>
  </r>
  <r>
    <s v="CLM-10240"/>
    <d v="2021-10-03T00:00:00"/>
    <d v="2021-12-16T00:00:00"/>
    <d v="2022-12-29T00:00:00"/>
    <n v="70379.92"/>
    <x v="1"/>
    <n v="14"/>
    <n v="2"/>
    <n v="2022"/>
    <x v="0"/>
  </r>
  <r>
    <s v="CLM-10058"/>
    <d v="2021-04-10T00:00:00"/>
    <d v="2021-04-27T00:00:00"/>
    <d v="2022-02-16T00:00:00"/>
    <n v="-17382.93"/>
    <x v="1"/>
    <n v="10"/>
    <n v="1"/>
    <n v="2022"/>
    <x v="0"/>
  </r>
  <r>
    <s v="CLM-10405"/>
    <d v="2021-01-28T00:00:00"/>
    <d v="2021-03-04T00:00:00"/>
    <d v="2021-09-17T00:00:00"/>
    <n v="13742.39"/>
    <x v="1"/>
    <n v="8"/>
    <n v="1"/>
    <n v="2021"/>
    <x v="1"/>
  </r>
  <r>
    <s v="CLM-10650"/>
    <d v="2021-06-25T00:00:00"/>
    <d v="2021-07-31T00:00:00"/>
    <d v="2021-12-26T00:00:00"/>
    <n v="-15027.66"/>
    <x v="1"/>
    <n v="6"/>
    <n v="1"/>
    <n v="2021"/>
    <x v="1"/>
  </r>
  <r>
    <s v="CLM-10474"/>
    <d v="2022-08-01T00:00:00"/>
    <d v="2022-10-09T00:00:00"/>
    <d v="2023-03-07T00:00:00"/>
    <n v="54698.97"/>
    <x v="2"/>
    <n v="7"/>
    <n v="1"/>
    <n v="2023"/>
    <x v="0"/>
  </r>
  <r>
    <s v="CLM-10524"/>
    <d v="2021-07-10T00:00:00"/>
    <d v="2021-08-06T00:00:00"/>
    <d v="2022-02-12T00:00:00"/>
    <n v="2652"/>
    <x v="1"/>
    <n v="7"/>
    <n v="1"/>
    <n v="2022"/>
    <x v="0"/>
  </r>
  <r>
    <s v="CLM-10507"/>
    <d v="2024-04-29T00:00:00"/>
    <d v="2024-05-01T00:00:00"/>
    <d v="2025-02-24T00:00:00"/>
    <n v="54187.83"/>
    <x v="4"/>
    <n v="10"/>
    <n v="1"/>
    <n v="2025"/>
    <x v="0"/>
  </r>
  <r>
    <s v="CLM-10606"/>
    <d v="2022-04-02T00:00:00"/>
    <d v="2022-05-23T00:00:00"/>
    <d v="2022-06-27T00:00:00"/>
    <n v="27890.19"/>
    <x v="2"/>
    <n v="2"/>
    <n v="1"/>
    <n v="2022"/>
    <x v="1"/>
  </r>
  <r>
    <s v="CLM-10005"/>
    <d v="2021-06-15T00:00:00"/>
    <d v="2021-07-16T00:00:00"/>
    <d v="2022-09-05T00:00:00"/>
    <n v="42186.559999999998"/>
    <x v="1"/>
    <n v="15"/>
    <n v="2"/>
    <n v="2022"/>
    <x v="0"/>
  </r>
  <r>
    <s v="CLM-10278"/>
    <d v="2022-12-07T00:00:00"/>
    <d v="2022-12-16T00:00:00"/>
    <d v="2023-08-27T00:00:00"/>
    <n v="48824.02"/>
    <x v="2"/>
    <n v="8"/>
    <n v="1"/>
    <n v="2023"/>
    <x v="0"/>
  </r>
  <r>
    <s v="CLM-10710"/>
    <d v="2021-03-15T00:00:00"/>
    <d v="2021-05-31T00:00:00"/>
    <d v="2021-07-21T00:00:00"/>
    <n v="-2513.91"/>
    <x v="1"/>
    <n v="4"/>
    <n v="1"/>
    <n v="2021"/>
    <x v="1"/>
  </r>
  <r>
    <s v="CLM-10442"/>
    <d v="2024-07-27T00:00:00"/>
    <d v="2024-09-16T00:00:00"/>
    <d v="2024-12-29T00:00:00"/>
    <n v="55084.84"/>
    <x v="4"/>
    <n v="5"/>
    <n v="1"/>
    <n v="2024"/>
    <x v="1"/>
  </r>
  <r>
    <s v="CLM-10160"/>
    <d v="2021-05-24T00:00:00"/>
    <d v="2021-06-29T00:00:00"/>
    <d v="2021-12-09T00:00:00"/>
    <n v="-13934.81"/>
    <x v="1"/>
    <n v="7"/>
    <n v="1"/>
    <n v="2021"/>
    <x v="1"/>
  </r>
  <r>
    <s v="CLM-10039"/>
    <d v="2024-08-19T00:00:00"/>
    <d v="2024-10-04T00:00:00"/>
    <d v="2025-02-15T00:00:00"/>
    <n v="32730.97"/>
    <x v="4"/>
    <n v="6"/>
    <n v="1"/>
    <n v="2025"/>
    <x v="0"/>
  </r>
  <r>
    <s v="CLM-10708"/>
    <d v="2021-11-16T00:00:00"/>
    <d v="2021-12-23T00:00:00"/>
    <d v="2022-11-02T00:00:00"/>
    <n v="12622.98"/>
    <x v="1"/>
    <n v="12"/>
    <n v="1"/>
    <n v="2022"/>
    <x v="0"/>
  </r>
  <r>
    <s v="CLM-10240"/>
    <d v="2021-10-03T00:00:00"/>
    <d v="2021-12-16T00:00:00"/>
    <d v="2022-05-31T00:00:00"/>
    <n v="37781.49"/>
    <x v="1"/>
    <n v="7"/>
    <n v="1"/>
    <n v="2022"/>
    <x v="0"/>
  </r>
  <r>
    <s v="CLM-10796"/>
    <d v="2022-02-06T00:00:00"/>
    <d v="2022-02-21T00:00:00"/>
    <d v="2022-06-16T00:00:00"/>
    <n v="73451.070000000007"/>
    <x v="2"/>
    <n v="4"/>
    <n v="1"/>
    <n v="2022"/>
    <x v="1"/>
  </r>
  <r>
    <s v="CLM-10604"/>
    <d v="2021-06-20T00:00:00"/>
    <d v="2021-09-11T00:00:00"/>
    <d v="2021-10-30T00:00:00"/>
    <n v="67744.87"/>
    <x v="1"/>
    <n v="4"/>
    <n v="1"/>
    <n v="2021"/>
    <x v="1"/>
  </r>
  <r>
    <s v="CLM-10534"/>
    <d v="2021-04-08T00:00:00"/>
    <d v="2021-04-10T00:00:00"/>
    <d v="2021-11-08T00:00:00"/>
    <n v="46020.86"/>
    <x v="1"/>
    <n v="7"/>
    <n v="1"/>
    <n v="2021"/>
    <x v="1"/>
  </r>
  <r>
    <s v="CLM-10287"/>
    <d v="2020-04-13T00:00:00"/>
    <d v="2020-05-01T00:00:00"/>
    <d v="2020-08-16T00:00:00"/>
    <n v="16384.689999999999"/>
    <x v="3"/>
    <n v="4"/>
    <n v="1"/>
    <n v="2020"/>
    <x v="1"/>
  </r>
  <r>
    <s v="CLM-10067"/>
    <d v="2021-04-24T00:00:00"/>
    <d v="2021-05-11T00:00:00"/>
    <d v="2021-11-05T00:00:00"/>
    <n v="55803.5"/>
    <x v="1"/>
    <n v="7"/>
    <n v="1"/>
    <n v="2021"/>
    <x v="1"/>
  </r>
  <r>
    <s v="CLM-10705"/>
    <d v="2021-11-18T00:00:00"/>
    <d v="2022-01-29T00:00:00"/>
    <d v="2022-07-25T00:00:00"/>
    <n v="11157.96"/>
    <x v="1"/>
    <n v="8"/>
    <n v="1"/>
    <n v="2022"/>
    <x v="0"/>
  </r>
  <r>
    <s v="CLM-10290"/>
    <d v="2024-01-22T00:00:00"/>
    <d v="2024-02-13T00:00:00"/>
    <d v="2025-05-23T00:00:00"/>
    <n v="46495.32"/>
    <x v="4"/>
    <n v="16"/>
    <n v="2"/>
    <n v="2025"/>
    <x v="0"/>
  </r>
  <r>
    <s v="CLM-10058"/>
    <d v="2021-04-10T00:00:00"/>
    <d v="2021-04-27T00:00:00"/>
    <d v="2022-07-15T00:00:00"/>
    <n v="70727.86"/>
    <x v="1"/>
    <n v="15"/>
    <n v="2"/>
    <n v="2022"/>
    <x v="0"/>
  </r>
  <r>
    <s v="CLM-10705"/>
    <d v="2021-11-18T00:00:00"/>
    <d v="2022-01-29T00:00:00"/>
    <d v="2022-06-10T00:00:00"/>
    <n v="58168.27"/>
    <x v="1"/>
    <n v="7"/>
    <n v="1"/>
    <n v="2022"/>
    <x v="0"/>
  </r>
  <r>
    <s v="CLM-10455"/>
    <d v="2023-09-17T00:00:00"/>
    <d v="2023-10-10T00:00:00"/>
    <d v="2024-04-12T00:00:00"/>
    <n v="-22866.29"/>
    <x v="0"/>
    <n v="7"/>
    <n v="1"/>
    <n v="2024"/>
    <x v="0"/>
  </r>
  <r>
    <s v="CLM-10783"/>
    <d v="2023-05-31T00:00:00"/>
    <d v="2023-07-12T00:00:00"/>
    <d v="2023-10-15T00:00:00"/>
    <n v="4507.24"/>
    <x v="0"/>
    <n v="5"/>
    <n v="1"/>
    <n v="2023"/>
    <x v="1"/>
  </r>
  <r>
    <s v="CLM-10705"/>
    <d v="2021-11-18T00:00:00"/>
    <d v="2022-01-29T00:00:00"/>
    <d v="2022-12-27T00:00:00"/>
    <n v="69222.929999999993"/>
    <x v="1"/>
    <n v="13"/>
    <n v="2"/>
    <n v="2022"/>
    <x v="0"/>
  </r>
  <r>
    <s v="CLM-10166"/>
    <d v="2022-06-27T00:00:00"/>
    <d v="2022-06-28T00:00:00"/>
    <d v="2022-10-19T00:00:00"/>
    <n v="72132.67"/>
    <x v="2"/>
    <n v="4"/>
    <n v="1"/>
    <n v="2022"/>
    <x v="1"/>
  </r>
  <r>
    <s v="CLM-10759"/>
    <d v="2024-06-17T00:00:00"/>
    <d v="2024-09-13T00:00:00"/>
    <d v="2025-03-04T00:00:00"/>
    <n v="51223.78"/>
    <x v="4"/>
    <n v="9"/>
    <n v="1"/>
    <n v="2025"/>
    <x v="0"/>
  </r>
  <r>
    <s v="CLM-10758"/>
    <d v="2021-01-31T00:00:00"/>
    <d v="2021-03-23T00:00:00"/>
    <d v="2022-12-13T00:00:00"/>
    <n v="67716.039999999994"/>
    <x v="1"/>
    <n v="23"/>
    <n v="2"/>
    <n v="2022"/>
    <x v="0"/>
  </r>
  <r>
    <s v="CLM-10446"/>
    <d v="2024-11-02T00:00:00"/>
    <d v="2024-11-04T00:00:00"/>
    <d v="2024-11-29T00:00:00"/>
    <n v="32738.43"/>
    <x v="4"/>
    <n v="0"/>
    <n v="0"/>
    <n v="2024"/>
    <x v="1"/>
  </r>
  <r>
    <s v="CLM-10080"/>
    <d v="2021-02-18T00:00:00"/>
    <d v="2021-03-21T00:00:00"/>
    <d v="2021-09-04T00:00:00"/>
    <n v="60929.2"/>
    <x v="1"/>
    <n v="7"/>
    <n v="1"/>
    <n v="2021"/>
    <x v="1"/>
  </r>
  <r>
    <s v="CLM-10084"/>
    <d v="2022-06-24T00:00:00"/>
    <d v="2022-08-20T00:00:00"/>
    <d v="2023-08-14T00:00:00"/>
    <n v="44308.1"/>
    <x v="2"/>
    <n v="14"/>
    <n v="2"/>
    <n v="2023"/>
    <x v="0"/>
  </r>
  <r>
    <s v="CLM-10569"/>
    <d v="2021-02-06T00:00:00"/>
    <d v="2021-03-08T00:00:00"/>
    <d v="2021-04-28T00:00:00"/>
    <n v="60295.8"/>
    <x v="1"/>
    <n v="2"/>
    <n v="1"/>
    <n v="2021"/>
    <x v="1"/>
  </r>
  <r>
    <s v="CLM-10314"/>
    <d v="2021-08-08T00:00:00"/>
    <d v="2021-10-17T00:00:00"/>
    <d v="2022-05-09T00:00:00"/>
    <n v="52394.01"/>
    <x v="1"/>
    <n v="9"/>
    <n v="1"/>
    <n v="2022"/>
    <x v="0"/>
  </r>
  <r>
    <s v="CLM-10480"/>
    <d v="2020-05-23T00:00:00"/>
    <d v="2020-06-17T00:00:00"/>
    <d v="2020-07-07T00:00:00"/>
    <n v="83422.559999999998"/>
    <x v="3"/>
    <n v="2"/>
    <n v="1"/>
    <n v="2020"/>
    <x v="1"/>
  </r>
  <r>
    <s v="CLM-10007"/>
    <d v="2022-12-13T00:00:00"/>
    <d v="2023-01-27T00:00:00"/>
    <d v="2023-07-25T00:00:00"/>
    <n v="20965.900000000001"/>
    <x v="2"/>
    <n v="7"/>
    <n v="1"/>
    <n v="2023"/>
    <x v="0"/>
  </r>
  <r>
    <s v="CLM-10004"/>
    <d v="2023-06-08T00:00:00"/>
    <d v="2023-07-08T00:00:00"/>
    <d v="2023-12-28T00:00:00"/>
    <n v="71148.97"/>
    <x v="0"/>
    <n v="6"/>
    <n v="1"/>
    <n v="2023"/>
    <x v="1"/>
  </r>
  <r>
    <s v="CLM-10019"/>
    <d v="2023-11-17T00:00:00"/>
    <d v="2023-12-03T00:00:00"/>
    <d v="2024-08-26T00:00:00"/>
    <n v="52635.82"/>
    <x v="0"/>
    <n v="9"/>
    <n v="1"/>
    <n v="2024"/>
    <x v="0"/>
  </r>
  <r>
    <s v="CLM-10244"/>
    <d v="2022-04-04T00:00:00"/>
    <d v="2022-06-13T00:00:00"/>
    <d v="2022-12-25T00:00:00"/>
    <n v="-16273.68"/>
    <x v="2"/>
    <n v="8"/>
    <n v="1"/>
    <n v="2022"/>
    <x v="1"/>
  </r>
  <r>
    <s v="CLM-10463"/>
    <d v="2022-07-08T00:00:00"/>
    <d v="2022-08-18T00:00:00"/>
    <d v="2023-12-14T00:00:00"/>
    <n v="20031.95"/>
    <x v="2"/>
    <n v="17"/>
    <n v="2"/>
    <n v="2023"/>
    <x v="0"/>
  </r>
  <r>
    <s v="CLM-10723"/>
    <d v="2024-02-26T00:00:00"/>
    <d v="2024-03-30T00:00:00"/>
    <d v="2024-04-17T00:00:00"/>
    <n v="33303.339999999997"/>
    <x v="4"/>
    <n v="2"/>
    <n v="1"/>
    <n v="2024"/>
    <x v="1"/>
  </r>
  <r>
    <s v="CLM-10042"/>
    <d v="2020-07-23T00:00:00"/>
    <d v="2020-09-27T00:00:00"/>
    <d v="2021-06-21T00:00:00"/>
    <n v="75890.03"/>
    <x v="3"/>
    <n v="11"/>
    <n v="1"/>
    <n v="2021"/>
    <x v="0"/>
  </r>
  <r>
    <s v="CLM-10749"/>
    <d v="2021-05-21T00:00:00"/>
    <d v="2021-06-26T00:00:00"/>
    <d v="2022-02-10T00:00:00"/>
    <n v="3093.75"/>
    <x v="1"/>
    <n v="9"/>
    <n v="1"/>
    <n v="2022"/>
    <x v="0"/>
  </r>
  <r>
    <s v="CLM-10776"/>
    <d v="2024-12-02T00:00:00"/>
    <d v="2025-01-01T00:00:00"/>
    <d v="2024-10-23T00:00:00"/>
    <n v="61784.15"/>
    <x v="4"/>
    <n v="-2"/>
    <n v="0"/>
    <n v="2024"/>
    <x v="1"/>
  </r>
  <r>
    <s v="CLM-10709"/>
    <d v="2020-11-01T00:00:00"/>
    <d v="2021-01-16T00:00:00"/>
    <d v="2021-12-14T00:00:00"/>
    <n v="48524.39"/>
    <x v="3"/>
    <n v="13"/>
    <n v="2"/>
    <n v="2021"/>
    <x v="0"/>
  </r>
  <r>
    <s v="CLM-10053"/>
    <d v="2021-02-08T00:00:00"/>
    <d v="2021-03-05T00:00:00"/>
    <d v="2021-05-27T00:00:00"/>
    <n v="80549.649999999994"/>
    <x v="1"/>
    <n v="3"/>
    <n v="1"/>
    <n v="2021"/>
    <x v="1"/>
  </r>
  <r>
    <s v="CLM-10112"/>
    <d v="2022-08-24T00:00:00"/>
    <d v="2022-10-23T00:00:00"/>
    <d v="2023-10-30T00:00:00"/>
    <n v="23285.1"/>
    <x v="2"/>
    <n v="14"/>
    <n v="2"/>
    <n v="2023"/>
    <x v="0"/>
  </r>
  <r>
    <s v="CLM-10482"/>
    <d v="2024-02-01T00:00:00"/>
    <d v="2024-02-23T00:00:00"/>
    <d v="2024-06-11T00:00:00"/>
    <n v="33190.89"/>
    <x v="4"/>
    <n v="4"/>
    <n v="1"/>
    <n v="2024"/>
    <x v="1"/>
  </r>
  <r>
    <s v="CLM-10283"/>
    <d v="2022-06-16T00:00:00"/>
    <m/>
    <d v="2022-12-23T00:00:00"/>
    <n v="28138.87"/>
    <x v="2"/>
    <n v="6"/>
    <n v="1"/>
    <n v="2022"/>
    <x v="1"/>
  </r>
  <r>
    <s v="CLM-10756"/>
    <d v="2022-07-31T00:00:00"/>
    <d v="2022-08-17T00:00:00"/>
    <d v="2023-02-24T00:00:00"/>
    <n v="-13367.05"/>
    <x v="2"/>
    <n v="7"/>
    <n v="1"/>
    <n v="2023"/>
    <x v="0"/>
  </r>
  <r>
    <s v="CLM-10136"/>
    <d v="2024-05-01T00:00:00"/>
    <d v="2024-06-03T00:00:00"/>
    <d v="2025-02-03T00:00:00"/>
    <n v="47945.46"/>
    <x v="4"/>
    <n v="9"/>
    <n v="1"/>
    <n v="2025"/>
    <x v="0"/>
  </r>
  <r>
    <s v="CLM-10235"/>
    <d v="2022-09-19T00:00:00"/>
    <d v="2022-12-14T00:00:00"/>
    <d v="2023-09-28T00:00:00"/>
    <n v="80039.87"/>
    <x v="2"/>
    <n v="12"/>
    <n v="1"/>
    <n v="2023"/>
    <x v="0"/>
  </r>
  <r>
    <s v="CLM-10421"/>
    <d v="2021-02-14T00:00:00"/>
    <d v="2021-03-17T00:00:00"/>
    <d v="2021-12-31T00:00:00"/>
    <n v="62813.31"/>
    <x v="1"/>
    <n v="10"/>
    <n v="1"/>
    <n v="2021"/>
    <x v="1"/>
  </r>
  <r>
    <s v="CLM-10771"/>
    <d v="2022-08-19T00:00:00"/>
    <d v="2022-09-08T00:00:00"/>
    <d v="2024-03-03T00:00:00"/>
    <n v="-2187.12"/>
    <x v="2"/>
    <n v="19"/>
    <n v="2"/>
    <n v="2024"/>
    <x v="2"/>
  </r>
  <r>
    <s v="CLM-10429"/>
    <d v="2020-04-12T00:00:00"/>
    <d v="2020-06-20T00:00:00"/>
    <d v="2020-09-27T00:00:00"/>
    <n v="27235.93"/>
    <x v="3"/>
    <n v="5"/>
    <n v="1"/>
    <n v="2020"/>
    <x v="1"/>
  </r>
  <r>
    <s v="CLM-10753"/>
    <d v="2022-06-29T00:00:00"/>
    <d v="2022-08-01T00:00:00"/>
    <d v="2023-03-21T00:00:00"/>
    <n v="27993.35"/>
    <x v="2"/>
    <n v="9"/>
    <n v="1"/>
    <n v="2023"/>
    <x v="0"/>
  </r>
  <r>
    <s v="CLM-10195"/>
    <d v="2024-03-07T00:00:00"/>
    <d v="2024-03-18T00:00:00"/>
    <d v="2025-03-09T00:00:00"/>
    <n v="-7645.93"/>
    <x v="4"/>
    <n v="12"/>
    <n v="1"/>
    <n v="2025"/>
    <x v="0"/>
  </r>
  <r>
    <s v="CLM-10127"/>
    <d v="2023-07-03T00:00:00"/>
    <d v="2023-07-11T00:00:00"/>
    <d v="2024-03-30T00:00:00"/>
    <n v="75377.33"/>
    <x v="0"/>
    <n v="8"/>
    <n v="1"/>
    <n v="2024"/>
    <x v="0"/>
  </r>
  <r>
    <s v="CLM-10574"/>
    <d v="2023-10-04T00:00:00"/>
    <d v="2023-10-24T00:00:00"/>
    <d v="2024-08-28T00:00:00"/>
    <n v="30859.21"/>
    <x v="0"/>
    <n v="10"/>
    <n v="1"/>
    <n v="2024"/>
    <x v="0"/>
  </r>
  <r>
    <s v="CLM-10181"/>
    <d v="2024-10-30T00:00:00"/>
    <d v="2024-11-23T00:00:00"/>
    <d v="2025-05-16T00:00:00"/>
    <n v="38152.089999999997"/>
    <x v="4"/>
    <n v="7"/>
    <n v="1"/>
    <n v="2025"/>
    <x v="0"/>
  </r>
  <r>
    <s v="CLM-10240"/>
    <d v="2021-10-03T00:00:00"/>
    <d v="2021-12-16T00:00:00"/>
    <d v="2022-08-11T00:00:00"/>
    <n v="32544.15"/>
    <x v="1"/>
    <n v="10"/>
    <n v="1"/>
    <n v="2022"/>
    <x v="0"/>
  </r>
  <r>
    <s v="CLM-10139"/>
    <d v="2024-01-29T00:00:00"/>
    <d v="2024-02-27T00:00:00"/>
    <d v="2024-04-29T00:00:00"/>
    <n v="55232.62"/>
    <x v="4"/>
    <n v="3"/>
    <n v="1"/>
    <n v="2024"/>
    <x v="1"/>
  </r>
  <r>
    <s v="CLM-10291"/>
    <d v="2021-10-21T00:00:00"/>
    <d v="2022-01-05T00:00:00"/>
    <d v="2022-05-11T00:00:00"/>
    <n v="80501.5"/>
    <x v="1"/>
    <n v="7"/>
    <n v="1"/>
    <n v="2022"/>
    <x v="0"/>
  </r>
  <r>
    <s v="CLM-10224"/>
    <d v="2020-11-06T00:00:00"/>
    <d v="2021-01-11T00:00:00"/>
    <d v="2021-07-03T00:00:00"/>
    <n v="72844.73"/>
    <x v="3"/>
    <n v="8"/>
    <n v="1"/>
    <n v="2021"/>
    <x v="0"/>
  </r>
  <r>
    <s v="CLM-10417"/>
    <d v="2022-01-24T00:00:00"/>
    <d v="2022-03-03T00:00:00"/>
    <d v="2022-09-17T00:00:00"/>
    <n v="14499.85"/>
    <x v="2"/>
    <n v="8"/>
    <n v="1"/>
    <n v="2022"/>
    <x v="1"/>
  </r>
  <r>
    <s v="CLM-10636"/>
    <d v="2023-03-31T00:00:00"/>
    <d v="2023-05-03T00:00:00"/>
    <d v="2024-04-13T00:00:00"/>
    <n v="83151.649999999994"/>
    <x v="0"/>
    <n v="13"/>
    <n v="2"/>
    <n v="2024"/>
    <x v="0"/>
  </r>
  <r>
    <s v="CLM-10793"/>
    <d v="2024-04-10T00:00:00"/>
    <d v="2024-06-19T00:00:00"/>
    <d v="2025-05-16T00:00:00"/>
    <n v="77787.39"/>
    <x v="4"/>
    <n v="13"/>
    <n v="2"/>
    <n v="2025"/>
    <x v="0"/>
  </r>
  <r>
    <s v="CLM-10261"/>
    <d v="2020-07-16T00:00:00"/>
    <d v="2020-08-28T00:00:00"/>
    <d v="2020-12-24T00:00:00"/>
    <n v="74600.77"/>
    <x v="3"/>
    <n v="5"/>
    <n v="1"/>
    <n v="2020"/>
    <x v="1"/>
  </r>
  <r>
    <s v="CLM-10761"/>
    <d v="2022-05-24T00:00:00"/>
    <d v="2022-07-03T00:00:00"/>
    <d v="2023-03-04T00:00:00"/>
    <n v="73043.66"/>
    <x v="2"/>
    <n v="10"/>
    <n v="1"/>
    <n v="2023"/>
    <x v="0"/>
  </r>
  <r>
    <s v="CLM-10341"/>
    <d v="2024-05-09T00:00:00"/>
    <d v="2024-06-16T00:00:00"/>
    <d v="2024-09-24T00:00:00"/>
    <n v="18396.39"/>
    <x v="4"/>
    <n v="4"/>
    <n v="1"/>
    <n v="2024"/>
    <x v="1"/>
  </r>
  <r>
    <s v="CLM-10570"/>
    <d v="2021-09-30T00:00:00"/>
    <d v="2021-12-06T00:00:00"/>
    <d v="2022-03-28T00:00:00"/>
    <n v="-12217.57"/>
    <x v="1"/>
    <n v="6"/>
    <n v="1"/>
    <n v="2022"/>
    <x v="0"/>
  </r>
  <r>
    <s v="CLM-10384"/>
    <d v="2022-07-02T00:00:00"/>
    <d v="2022-08-08T00:00:00"/>
    <d v="2023-10-05T00:00:00"/>
    <n v="53679.839999999997"/>
    <x v="2"/>
    <n v="15"/>
    <n v="2"/>
    <n v="2023"/>
    <x v="0"/>
  </r>
  <r>
    <s v="CLM-10318"/>
    <d v="2024-09-05T00:00:00"/>
    <d v="2024-11-01T00:00:00"/>
    <d v="2025-03-04T00:00:00"/>
    <n v="71084.42"/>
    <x v="4"/>
    <n v="6"/>
    <n v="1"/>
    <n v="2025"/>
    <x v="0"/>
  </r>
  <r>
    <s v="CLM-10457"/>
    <d v="2023-05-27T00:00:00"/>
    <d v="2023-08-16T00:00:00"/>
    <d v="2024-09-21T00:00:00"/>
    <n v="4677.41"/>
    <x v="0"/>
    <n v="16"/>
    <n v="2"/>
    <n v="2024"/>
    <x v="0"/>
  </r>
  <r>
    <s v="CLM-10178"/>
    <d v="2022-10-17T00:00:00"/>
    <d v="2022-12-16T00:00:00"/>
    <d v="2023-05-09T00:00:00"/>
    <n v="11560.5"/>
    <x v="2"/>
    <n v="7"/>
    <n v="1"/>
    <n v="2023"/>
    <x v="0"/>
  </r>
  <r>
    <s v="CLM-10597"/>
    <d v="2021-08-12T00:00:00"/>
    <d v="2021-09-02T00:00:00"/>
    <d v="2022-02-01T00:00:00"/>
    <n v="72262.81"/>
    <x v="1"/>
    <n v="6"/>
    <n v="1"/>
    <n v="2022"/>
    <x v="0"/>
  </r>
  <r>
    <s v="CLM-10800"/>
    <d v="2024-02-01T00:00:00"/>
    <d v="2024-02-14T00:00:00"/>
    <d v="2024-05-31T00:00:00"/>
    <n v="30278.65"/>
    <x v="4"/>
    <n v="3"/>
    <n v="1"/>
    <n v="2024"/>
    <x v="1"/>
  </r>
  <r>
    <s v="CLM-10575"/>
    <d v="2021-05-18T00:00:00"/>
    <d v="2021-06-03T00:00:00"/>
    <d v="2021-11-03T00:00:00"/>
    <n v="71328.740000000005"/>
    <x v="1"/>
    <n v="6"/>
    <n v="1"/>
    <n v="2021"/>
    <x v="1"/>
  </r>
  <r>
    <s v="CLM-10209"/>
    <d v="2024-01-20T00:00:00"/>
    <d v="2024-01-26T00:00:00"/>
    <d v="2024-08-06T00:00:00"/>
    <n v="57275.5"/>
    <x v="4"/>
    <n v="7"/>
    <n v="1"/>
    <n v="2024"/>
    <x v="1"/>
  </r>
  <r>
    <s v="CLM-10603"/>
    <d v="2022-01-03T00:00:00"/>
    <d v="2022-02-24T00:00:00"/>
    <d v="2023-12-22T00:00:00"/>
    <n v="77607.850000000006"/>
    <x v="2"/>
    <n v="23"/>
    <n v="2"/>
    <n v="2023"/>
    <x v="0"/>
  </r>
  <r>
    <s v="CLM-10768"/>
    <d v="2023-04-21T00:00:00"/>
    <d v="2023-06-26T00:00:00"/>
    <d v="2024-08-05T00:00:00"/>
    <n v="17010.060000000001"/>
    <x v="0"/>
    <n v="16"/>
    <n v="2"/>
    <n v="2024"/>
    <x v="0"/>
  </r>
  <r>
    <s v="CLM-10784"/>
    <d v="2022-11-25T00:00:00"/>
    <d v="2022-12-09T00:00:00"/>
    <d v="2023-11-29T00:00:00"/>
    <n v="33135.29"/>
    <x v="2"/>
    <n v="12"/>
    <n v="1"/>
    <n v="2023"/>
    <x v="0"/>
  </r>
  <r>
    <s v="CLM-10415"/>
    <d v="2021-08-30T00:00:00"/>
    <d v="2021-11-09T00:00:00"/>
    <d v="2023-01-11T00:00:00"/>
    <n v="39220.339999999997"/>
    <x v="1"/>
    <n v="17"/>
    <n v="2"/>
    <n v="2023"/>
    <x v="2"/>
  </r>
  <r>
    <s v="CLM-10684"/>
    <d v="2022-05-06T00:00:00"/>
    <d v="2022-06-26T00:00:00"/>
    <d v="2022-08-20T00:00:00"/>
    <n v="58535.43"/>
    <x v="2"/>
    <n v="3"/>
    <n v="1"/>
    <n v="2022"/>
    <x v="1"/>
  </r>
  <r>
    <s v="CLM-10222"/>
    <d v="2024-01-06T00:00:00"/>
    <d v="2024-04-01T00:00:00"/>
    <d v="2024-07-03T00:00:00"/>
    <n v="2516.9"/>
    <x v="4"/>
    <n v="6"/>
    <n v="1"/>
    <n v="2024"/>
    <x v="1"/>
  </r>
  <r>
    <s v="CLM-10657"/>
    <d v="2023-02-24T00:00:00"/>
    <d v="2023-05-21T00:00:00"/>
    <d v="2023-09-28T00:00:00"/>
    <n v="16771.259999999998"/>
    <x v="0"/>
    <n v="7"/>
    <n v="1"/>
    <n v="2023"/>
    <x v="1"/>
  </r>
  <r>
    <s v="CLM-10292"/>
    <d v="2020-04-20T00:00:00"/>
    <d v="2020-05-25T00:00:00"/>
    <d v="2020-10-30T00:00:00"/>
    <n v="77870.25"/>
    <x v="3"/>
    <n v="6"/>
    <n v="1"/>
    <n v="2020"/>
    <x v="1"/>
  </r>
  <r>
    <s v="CLM-10044"/>
    <d v="2020-04-01T00:00:00"/>
    <d v="2020-06-10T00:00:00"/>
    <d v="2020-09-09T00:00:00"/>
    <n v="80189.5"/>
    <x v="3"/>
    <n v="5"/>
    <n v="1"/>
    <n v="2020"/>
    <x v="1"/>
  </r>
  <r>
    <s v="CLM-10100"/>
    <d v="2024-08-17T00:00:00"/>
    <d v="2024-09-07T00:00:00"/>
    <d v="2025-04-26T00:00:00"/>
    <n v="42243.41"/>
    <x v="4"/>
    <n v="8"/>
    <n v="1"/>
    <n v="2025"/>
    <x v="0"/>
  </r>
  <r>
    <s v="CLM-10569"/>
    <d v="2021-02-06T00:00:00"/>
    <d v="2021-03-08T00:00:00"/>
    <d v="2021-05-19T00:00:00"/>
    <n v="-7989.65"/>
    <x v="1"/>
    <n v="3"/>
    <n v="1"/>
    <n v="2021"/>
    <x v="1"/>
  </r>
  <r>
    <s v="CLM-10065"/>
    <d v="2023-05-05T00:00:00"/>
    <d v="2023-07-30T00:00:00"/>
    <d v="2024-04-18T00:00:00"/>
    <n v="84303.22"/>
    <x v="0"/>
    <n v="11"/>
    <n v="1"/>
    <n v="2024"/>
    <x v="0"/>
  </r>
  <r>
    <s v="CLM-10768"/>
    <d v="2023-04-21T00:00:00"/>
    <d v="2023-06-26T00:00:00"/>
    <d v="2024-10-06T00:00:00"/>
    <n v="70479.62"/>
    <x v="0"/>
    <n v="18"/>
    <n v="2"/>
    <n v="2024"/>
    <x v="0"/>
  </r>
  <r>
    <s v="CLM-10030"/>
    <d v="2023-06-22T00:00:00"/>
    <d v="2023-07-19T00:00:00"/>
    <d v="2024-01-04T00:00:00"/>
    <n v="25421.919999999998"/>
    <x v="0"/>
    <n v="7"/>
    <n v="1"/>
    <n v="2024"/>
    <x v="0"/>
  </r>
  <r>
    <s v="CLM-10478"/>
    <d v="2020-09-23T00:00:00"/>
    <d v="2020-12-14T00:00:00"/>
    <d v="2021-10-07T00:00:00"/>
    <n v="84422.36"/>
    <x v="3"/>
    <n v="13"/>
    <n v="2"/>
    <n v="2021"/>
    <x v="0"/>
  </r>
  <r>
    <s v="CLM-10306"/>
    <d v="2024-08-02T00:00:00"/>
    <d v="2024-08-05T00:00:00"/>
    <d v="2024-12-18T00:00:00"/>
    <n v="9974.94"/>
    <x v="4"/>
    <n v="4"/>
    <n v="1"/>
    <n v="2024"/>
    <x v="1"/>
  </r>
  <r>
    <s v="CLM-10624"/>
    <d v="2023-03-12T00:00:00"/>
    <d v="2023-04-18T00:00:00"/>
    <d v="2024-02-25T00:00:00"/>
    <n v="64393.279999999999"/>
    <x v="0"/>
    <n v="11"/>
    <n v="1"/>
    <n v="2024"/>
    <x v="0"/>
  </r>
  <r>
    <s v="CLM-10097"/>
    <d v="2021-04-13T00:00:00"/>
    <d v="2021-06-26T00:00:00"/>
    <d v="2022-03-30T00:00:00"/>
    <n v="27077.46"/>
    <x v="1"/>
    <n v="11"/>
    <n v="1"/>
    <n v="2022"/>
    <x v="0"/>
  </r>
  <r>
    <s v="CLM-10041"/>
    <d v="2023-01-01T00:00:00"/>
    <d v="2023-02-09T00:00:00"/>
    <d v="2022-11-23T00:00:00"/>
    <n v="34873.39"/>
    <x v="0"/>
    <n v="-2"/>
    <n v="0"/>
    <n v="2022"/>
    <x v="1"/>
  </r>
  <r>
    <s v="CLM-10595"/>
    <d v="2023-12-26T00:00:00"/>
    <d v="2024-01-15T00:00:00"/>
    <d v="2024-11-30T00:00:00"/>
    <n v="38764.379999999997"/>
    <x v="0"/>
    <n v="11"/>
    <n v="1"/>
    <n v="2024"/>
    <x v="0"/>
  </r>
  <r>
    <s v="CLM-10116"/>
    <d v="2023-04-19T00:00:00"/>
    <d v="2023-07-04T00:00:00"/>
    <d v="2024-06-11T00:00:00"/>
    <n v="53582.51"/>
    <x v="0"/>
    <n v="14"/>
    <n v="2"/>
    <n v="2024"/>
    <x v="0"/>
  </r>
  <r>
    <s v="CLM-10042"/>
    <d v="2020-07-23T00:00:00"/>
    <d v="2020-09-27T00:00:00"/>
    <d v="2021-11-18T00:00:00"/>
    <n v="7674.14"/>
    <x v="3"/>
    <n v="16"/>
    <n v="2"/>
    <n v="2021"/>
    <x v="0"/>
  </r>
  <r>
    <s v="CLM-10551"/>
    <d v="2024-10-06T00:00:00"/>
    <d v="2024-12-08T00:00:00"/>
    <d v="2025-02-11T00:00:00"/>
    <n v="33037.97"/>
    <x v="4"/>
    <n v="4"/>
    <n v="1"/>
    <n v="2025"/>
    <x v="0"/>
  </r>
  <r>
    <s v="CLM-10514"/>
    <d v="2020-07-07T00:00:00"/>
    <d v="2020-08-22T00:00:00"/>
    <d v="2020-09-15T00:00:00"/>
    <n v="25659.15"/>
    <x v="3"/>
    <n v="2"/>
    <n v="1"/>
    <n v="2020"/>
    <x v="1"/>
  </r>
  <r>
    <s v="CLM-10523"/>
    <d v="2021-06-09T00:00:00"/>
    <d v="2021-08-23T00:00:00"/>
    <d v="2021-10-28T00:00:00"/>
    <n v="28583.759999999998"/>
    <x v="1"/>
    <n v="4"/>
    <n v="1"/>
    <n v="2021"/>
    <x v="1"/>
  </r>
  <r>
    <s v="CLM-10279"/>
    <d v="2023-10-19T00:00:00"/>
    <d v="2023-12-06T00:00:00"/>
    <d v="2025-01-21T00:00:00"/>
    <n v="25715.11"/>
    <x v="0"/>
    <n v="15"/>
    <n v="2"/>
    <n v="2025"/>
    <x v="2"/>
  </r>
  <r>
    <s v="CLM-10582"/>
    <d v="2020-04-30T00:00:00"/>
    <d v="2020-06-20T00:00:00"/>
    <d v="2021-04-19T00:00:00"/>
    <n v="3828.33"/>
    <x v="3"/>
    <n v="12"/>
    <n v="1"/>
    <n v="2021"/>
    <x v="0"/>
  </r>
  <r>
    <s v="CLM-10714"/>
    <d v="2023-03-03T00:00:00"/>
    <d v="2023-03-04T00:00:00"/>
    <d v="2023-08-21T00:00:00"/>
    <n v="12249.21"/>
    <x v="0"/>
    <n v="5"/>
    <n v="1"/>
    <n v="2023"/>
    <x v="1"/>
  </r>
  <r>
    <s v="CLM-10657"/>
    <d v="2023-02-24T00:00:00"/>
    <d v="2023-05-21T00:00:00"/>
    <d v="2025-02-07T00:00:00"/>
    <n v="-15916.46"/>
    <x v="0"/>
    <n v="24"/>
    <n v="2"/>
    <n v="2025"/>
    <x v="2"/>
  </r>
  <r>
    <s v="CLM-10409"/>
    <d v="2021-12-02T00:00:00"/>
    <d v="2022-02-15T00:00:00"/>
    <d v="2023-01-15T00:00:00"/>
    <n v="73041.59"/>
    <x v="1"/>
    <n v="13"/>
    <n v="2"/>
    <n v="2023"/>
    <x v="2"/>
  </r>
  <r>
    <s v="CLM-10721"/>
    <d v="2022-05-11T00:00:00"/>
    <m/>
    <d v="2023-04-21T00:00:00"/>
    <n v="24246.42"/>
    <x v="2"/>
    <n v="11"/>
    <n v="1"/>
    <n v="2023"/>
    <x v="0"/>
  </r>
  <r>
    <s v="CLM-10587"/>
    <d v="2020-08-02T00:00:00"/>
    <m/>
    <d v="2021-04-01T00:00:00"/>
    <n v="77182.23"/>
    <x v="3"/>
    <n v="8"/>
    <n v="1"/>
    <n v="2021"/>
    <x v="0"/>
  </r>
  <r>
    <s v="CLM-10134"/>
    <d v="2021-03-30T00:00:00"/>
    <d v="2021-05-13T00:00:00"/>
    <d v="2021-07-27T00:00:00"/>
    <n v="43080.65"/>
    <x v="1"/>
    <n v="4"/>
    <n v="1"/>
    <n v="2021"/>
    <x v="1"/>
  </r>
  <r>
    <s v="CLM-10553"/>
    <d v="2022-12-07T00:00:00"/>
    <d v="2023-02-16T00:00:00"/>
    <d v="2023-07-01T00:00:00"/>
    <n v="-10172.06"/>
    <x v="2"/>
    <n v="7"/>
    <n v="1"/>
    <n v="2023"/>
    <x v="0"/>
  </r>
  <r>
    <s v="CLM-10149"/>
    <d v="2021-12-20T00:00:00"/>
    <d v="2022-02-10T00:00:00"/>
    <d v="2022-07-25T00:00:00"/>
    <n v="65762.87"/>
    <x v="1"/>
    <n v="7"/>
    <n v="1"/>
    <n v="2022"/>
    <x v="0"/>
  </r>
  <r>
    <s v="CLM-10011"/>
    <d v="2020-03-23T00:00:00"/>
    <d v="2020-04-06T00:00:00"/>
    <d v="2021-04-21T00:00:00"/>
    <n v="69440.36"/>
    <x v="3"/>
    <n v="13"/>
    <n v="2"/>
    <n v="2021"/>
    <x v="0"/>
  </r>
  <r>
    <s v="CLM-10783"/>
    <d v="2023-05-31T00:00:00"/>
    <d v="2023-07-12T00:00:00"/>
    <d v="2025-01-11T00:00:00"/>
    <n v="2305.64"/>
    <x v="0"/>
    <n v="20"/>
    <n v="2"/>
    <n v="2025"/>
    <x v="2"/>
  </r>
  <r>
    <s v="CLM-10430"/>
    <d v="2020-05-28T00:00:00"/>
    <d v="2020-07-12T00:00:00"/>
    <d v="2020-09-02T00:00:00"/>
    <n v="16633.02"/>
    <x v="3"/>
    <n v="4"/>
    <n v="1"/>
    <n v="2020"/>
    <x v="1"/>
  </r>
  <r>
    <s v="CLM-10756"/>
    <d v="2022-07-31T00:00:00"/>
    <d v="2022-08-17T00:00:00"/>
    <d v="2023-07-22T00:00:00"/>
    <n v="5718.49"/>
    <x v="2"/>
    <n v="12"/>
    <n v="1"/>
    <n v="2023"/>
    <x v="0"/>
  </r>
  <r>
    <s v="CLM-10793"/>
    <d v="2024-04-10T00:00:00"/>
    <d v="2024-06-19T00:00:00"/>
    <d v="2024-10-11T00:00:00"/>
    <n v="28144.42"/>
    <x v="4"/>
    <n v="6"/>
    <n v="1"/>
    <n v="2024"/>
    <x v="1"/>
  </r>
  <r>
    <s v="CLM-10036"/>
    <d v="2023-12-30T00:00:00"/>
    <m/>
    <d v="2024-06-07T00:00:00"/>
    <n v="-13053.42"/>
    <x v="0"/>
    <n v="6"/>
    <n v="1"/>
    <n v="2024"/>
    <x v="0"/>
  </r>
  <r>
    <s v="CLM-10629"/>
    <d v="2021-09-22T00:00:00"/>
    <d v="2021-09-24T00:00:00"/>
    <d v="2022-03-20T00:00:00"/>
    <n v="10251.57"/>
    <x v="1"/>
    <n v="6"/>
    <n v="1"/>
    <n v="2022"/>
    <x v="0"/>
  </r>
  <r>
    <s v="CLM-10642"/>
    <d v="2021-04-07T00:00:00"/>
    <m/>
    <d v="2021-10-16T00:00:00"/>
    <n v="4253.07"/>
    <x v="1"/>
    <n v="6"/>
    <n v="1"/>
    <n v="2021"/>
    <x v="1"/>
  </r>
  <r>
    <s v="CLM-10392"/>
    <d v="2022-01-10T00:00:00"/>
    <d v="2022-03-09T00:00:00"/>
    <d v="2022-06-03T00:00:00"/>
    <n v="-5124.2700000000004"/>
    <x v="2"/>
    <n v="5"/>
    <n v="1"/>
    <n v="2022"/>
    <x v="1"/>
  </r>
  <r>
    <s v="CLM-10123"/>
    <d v="2022-08-08T00:00:00"/>
    <d v="2022-10-14T00:00:00"/>
    <d v="2023-04-24T00:00:00"/>
    <n v="-3219.96"/>
    <x v="2"/>
    <n v="8"/>
    <n v="1"/>
    <n v="2023"/>
    <x v="0"/>
  </r>
  <r>
    <s v="CLM-10749"/>
    <d v="2021-05-21T00:00:00"/>
    <d v="2021-06-26T00:00:00"/>
    <d v="2021-07-12T00:00:00"/>
    <n v="84563.1"/>
    <x v="1"/>
    <n v="2"/>
    <n v="1"/>
    <n v="2021"/>
    <x v="1"/>
  </r>
  <r>
    <s v="CLM-10193"/>
    <d v="2023-03-03T00:00:00"/>
    <d v="2023-05-29T00:00:00"/>
    <d v="2023-10-23T00:00:00"/>
    <n v="21595.67"/>
    <x v="0"/>
    <n v="7"/>
    <n v="1"/>
    <n v="2023"/>
    <x v="1"/>
  </r>
  <r>
    <s v="CLM-10447"/>
    <d v="2024-09-25T00:00:00"/>
    <d v="2024-11-10T00:00:00"/>
    <d v="2025-04-24T00:00:00"/>
    <n v="19543.41"/>
    <x v="4"/>
    <n v="7"/>
    <n v="1"/>
    <n v="2025"/>
    <x v="0"/>
  </r>
  <r>
    <s v="CLM-10773"/>
    <d v="2021-06-28T00:00:00"/>
    <d v="2021-09-03T00:00:00"/>
    <d v="2022-08-03T00:00:00"/>
    <n v="20008.490000000002"/>
    <x v="1"/>
    <n v="14"/>
    <n v="2"/>
    <n v="2022"/>
    <x v="0"/>
  </r>
  <r>
    <s v="CLM-10704"/>
    <d v="2022-10-31T00:00:00"/>
    <d v="2022-12-12T00:00:00"/>
    <d v="2023-12-08T00:00:00"/>
    <n v="25851.27"/>
    <x v="2"/>
    <n v="14"/>
    <n v="2"/>
    <n v="2023"/>
    <x v="0"/>
  </r>
  <r>
    <s v="CLM-10228"/>
    <d v="2020-02-22T00:00:00"/>
    <d v="2020-03-12T00:00:00"/>
    <d v="2021-01-17T00:00:00"/>
    <n v="65306.39"/>
    <x v="3"/>
    <n v="11"/>
    <n v="1"/>
    <n v="2021"/>
    <x v="0"/>
  </r>
  <r>
    <s v="CLM-10653"/>
    <d v="2024-04-05T00:00:00"/>
    <d v="2024-07-01T00:00:00"/>
    <d v="2025-02-21T00:00:00"/>
    <n v="44647.16"/>
    <x v="4"/>
    <n v="10"/>
    <n v="1"/>
    <n v="2025"/>
    <x v="0"/>
  </r>
  <r>
    <s v="CLM-10261"/>
    <d v="2020-07-16T00:00:00"/>
    <d v="2020-08-28T00:00:00"/>
    <d v="2021-06-04T00:00:00"/>
    <n v="83960.91"/>
    <x v="3"/>
    <n v="11"/>
    <n v="1"/>
    <n v="2021"/>
    <x v="0"/>
  </r>
  <r>
    <s v="CLM-10554"/>
    <d v="2023-11-21T00:00:00"/>
    <d v="2023-12-29T00:00:00"/>
    <d v="2024-02-19T00:00:00"/>
    <n v="50616.11"/>
    <x v="0"/>
    <n v="3"/>
    <n v="1"/>
    <n v="2024"/>
    <x v="0"/>
  </r>
  <r>
    <s v="CLM-10256"/>
    <d v="2024-04-04T00:00:00"/>
    <d v="2024-07-02T00:00:00"/>
    <d v="2025-05-26T00:00:00"/>
    <n v="2240.52"/>
    <x v="4"/>
    <n v="13"/>
    <n v="2"/>
    <n v="2025"/>
    <x v="0"/>
  </r>
  <r>
    <s v="CLM-10335"/>
    <d v="2021-01-30T00:00:00"/>
    <d v="2021-03-14T00:00:00"/>
    <d v="2022-02-28T00:00:00"/>
    <n v="60357.84"/>
    <x v="1"/>
    <n v="13"/>
    <n v="2"/>
    <n v="2022"/>
    <x v="0"/>
  </r>
  <r>
    <s v="CLM-10050"/>
    <d v="2023-10-05T00:00:00"/>
    <d v="2023-10-07T00:00:00"/>
    <d v="2024-03-06T00:00:00"/>
    <n v="-3946.93"/>
    <x v="0"/>
    <n v="5"/>
    <n v="1"/>
    <n v="2024"/>
    <x v="0"/>
  </r>
  <r>
    <s v="CLM-10028"/>
    <d v="2020-03-02T00:00:00"/>
    <d v="2020-05-30T00:00:00"/>
    <d v="2021-06-30T00:00:00"/>
    <n v="-4699.8500000000004"/>
    <x v="3"/>
    <n v="15"/>
    <n v="2"/>
    <n v="2021"/>
    <x v="0"/>
  </r>
  <r>
    <s v="CLM-10646"/>
    <d v="2021-06-05T00:00:00"/>
    <d v="2021-08-10T00:00:00"/>
    <d v="2022-04-13T00:00:00"/>
    <n v="15170.93"/>
    <x v="1"/>
    <n v="10"/>
    <n v="1"/>
    <n v="2022"/>
    <x v="0"/>
  </r>
  <r>
    <s v="CLM-10603"/>
    <d v="2022-01-03T00:00:00"/>
    <d v="2022-02-24T00:00:00"/>
    <d v="2022-12-01T00:00:00"/>
    <n v="51610.65"/>
    <x v="2"/>
    <n v="11"/>
    <n v="1"/>
    <n v="2022"/>
    <x v="1"/>
  </r>
  <r>
    <s v="CLM-10232"/>
    <d v="2021-09-05T00:00:00"/>
    <d v="2021-09-10T00:00:00"/>
    <d v="2022-09-30T00:00:00"/>
    <n v="-17212.919999999998"/>
    <x v="1"/>
    <n v="12"/>
    <n v="1"/>
    <n v="2022"/>
    <x v="0"/>
  </r>
  <r>
    <s v="CLM-10708"/>
    <d v="2021-11-16T00:00:00"/>
    <d v="2021-12-23T00:00:00"/>
    <d v="2022-07-10T00:00:00"/>
    <n v="52633.279999999999"/>
    <x v="1"/>
    <n v="8"/>
    <n v="1"/>
    <n v="2022"/>
    <x v="0"/>
  </r>
  <r>
    <s v="CLM-10282"/>
    <d v="2022-10-12T00:00:00"/>
    <d v="2022-11-30T00:00:00"/>
    <d v="2023-02-19T00:00:00"/>
    <n v="40533.56"/>
    <x v="2"/>
    <n v="4"/>
    <n v="1"/>
    <n v="2023"/>
    <x v="0"/>
  </r>
  <r>
    <s v="CLM-10365"/>
    <d v="2021-08-01T00:00:00"/>
    <d v="2021-08-17T00:00:00"/>
    <d v="2022-06-27T00:00:00"/>
    <n v="16181.32"/>
    <x v="1"/>
    <n v="10"/>
    <n v="1"/>
    <n v="2022"/>
    <x v="0"/>
  </r>
  <r>
    <s v="CLM-10458"/>
    <d v="2022-10-02T00:00:00"/>
    <d v="2022-10-24T00:00:00"/>
    <d v="2023-10-02T00:00:00"/>
    <n v="51953.62"/>
    <x v="2"/>
    <n v="12"/>
    <n v="1"/>
    <n v="2023"/>
    <x v="0"/>
  </r>
  <r>
    <s v="CLM-10297"/>
    <d v="2024-01-11T00:00:00"/>
    <d v="2024-02-17T00:00:00"/>
    <d v="2024-04-23T00:00:00"/>
    <n v="74895.740000000005"/>
    <x v="4"/>
    <n v="3"/>
    <n v="1"/>
    <n v="2024"/>
    <x v="1"/>
  </r>
  <r>
    <s v="CLM-10418"/>
    <d v="2021-10-26T00:00:00"/>
    <d v="2021-11-30T00:00:00"/>
    <d v="2023-08-28T00:00:00"/>
    <n v="4744.53"/>
    <x v="1"/>
    <n v="22"/>
    <n v="2"/>
    <n v="2023"/>
    <x v="2"/>
  </r>
  <r>
    <s v="CLM-10686"/>
    <d v="2023-11-14T00:00:00"/>
    <d v="2024-02-01T00:00:00"/>
    <d v="2024-04-18T00:00:00"/>
    <n v="61988"/>
    <x v="0"/>
    <n v="5"/>
    <n v="1"/>
    <n v="2024"/>
    <x v="0"/>
  </r>
  <r>
    <s v="CLM-10296"/>
    <d v="2021-12-26T00:00:00"/>
    <d v="2022-02-17T00:00:00"/>
    <d v="2022-10-21T00:00:00"/>
    <n v="-17542.73"/>
    <x v="1"/>
    <n v="10"/>
    <n v="1"/>
    <n v="2022"/>
    <x v="0"/>
  </r>
  <r>
    <s v="CLM-10335"/>
    <d v="2021-01-30T00:00:00"/>
    <d v="2021-03-14T00:00:00"/>
    <d v="2022-08-08T00:00:00"/>
    <n v="26208.84"/>
    <x v="1"/>
    <n v="19"/>
    <n v="2"/>
    <n v="2022"/>
    <x v="0"/>
  </r>
  <r>
    <s v="CLM-10070"/>
    <d v="2020-09-04T00:00:00"/>
    <m/>
    <d v="2020-11-05T00:00:00"/>
    <n v="83709.23"/>
    <x v="3"/>
    <n v="2"/>
    <n v="1"/>
    <n v="2020"/>
    <x v="1"/>
  </r>
  <r>
    <s v="CLM-10546"/>
    <d v="2020-09-10T00:00:00"/>
    <d v="2020-12-03T00:00:00"/>
    <d v="2021-07-08T00:00:00"/>
    <n v="-6289.15"/>
    <x v="3"/>
    <n v="10"/>
    <n v="1"/>
    <n v="2021"/>
    <x v="0"/>
  </r>
  <r>
    <s v="CLM-10532"/>
    <d v="2023-12-24T00:00:00"/>
    <d v="2024-02-25T00:00:00"/>
    <d v="2024-05-29T00:00:00"/>
    <n v="-20469.88"/>
    <x v="0"/>
    <n v="5"/>
    <n v="1"/>
    <n v="2024"/>
    <x v="0"/>
  </r>
  <r>
    <s v="CLM-10118"/>
    <d v="2024-12-20T00:00:00"/>
    <d v="2025-01-20T00:00:00"/>
    <d v="2025-04-08T00:00:00"/>
    <n v="61610.41"/>
    <x v="4"/>
    <n v="4"/>
    <n v="1"/>
    <n v="2025"/>
    <x v="0"/>
  </r>
  <r>
    <s v="CLM-10788"/>
    <d v="2024-04-03T00:00:00"/>
    <d v="2024-06-24T00:00:00"/>
    <d v="2024-12-29T00:00:00"/>
    <n v="64130.37"/>
    <x v="4"/>
    <n v="8"/>
    <n v="1"/>
    <n v="2024"/>
    <x v="1"/>
  </r>
  <r>
    <s v="CLM-10594"/>
    <d v="2024-08-04T00:00:00"/>
    <d v="2024-09-12T00:00:00"/>
    <d v="2025-04-17T00:00:00"/>
    <n v="66258.41"/>
    <x v="4"/>
    <n v="8"/>
    <n v="1"/>
    <n v="2025"/>
    <x v="0"/>
  </r>
  <r>
    <s v="CLM-10065"/>
    <d v="2023-05-05T00:00:00"/>
    <d v="2023-07-30T00:00:00"/>
    <d v="2025-02-21T00:00:00"/>
    <n v="15840.42"/>
    <x v="0"/>
    <n v="21"/>
    <n v="2"/>
    <n v="2025"/>
    <x v="2"/>
  </r>
  <r>
    <s v="CLM-10450"/>
    <d v="2021-07-26T00:00:00"/>
    <d v="2021-09-22T00:00:00"/>
    <d v="2021-10-22T00:00:00"/>
    <n v="7409.3"/>
    <x v="1"/>
    <n v="3"/>
    <n v="1"/>
    <n v="2021"/>
    <x v="1"/>
  </r>
  <r>
    <s v="CLM-10472"/>
    <d v="2023-03-07T00:00:00"/>
    <d v="2023-05-19T00:00:00"/>
    <d v="2024-08-28T00:00:00"/>
    <n v="34281.47"/>
    <x v="0"/>
    <n v="17"/>
    <n v="2"/>
    <n v="2024"/>
    <x v="0"/>
  </r>
  <r>
    <s v="CLM-10452"/>
    <d v="2024-01-17T00:00:00"/>
    <d v="2024-03-27T00:00:00"/>
    <d v="2025-02-04T00:00:00"/>
    <n v="44981.04"/>
    <x v="4"/>
    <n v="13"/>
    <n v="2"/>
    <n v="2025"/>
    <x v="0"/>
  </r>
  <r>
    <s v="CLM-10706"/>
    <d v="2020-01-06T00:00:00"/>
    <m/>
    <d v="2020-06-24T00:00:00"/>
    <n v="-18049.22"/>
    <x v="3"/>
    <n v="5"/>
    <n v="1"/>
    <n v="2020"/>
    <x v="1"/>
  </r>
  <r>
    <s v="CLM-10022"/>
    <d v="2022-03-04T00:00:00"/>
    <d v="2022-05-25T00:00:00"/>
    <d v="2022-10-29T00:00:00"/>
    <n v="26750.5"/>
    <x v="2"/>
    <n v="7"/>
    <n v="1"/>
    <n v="2022"/>
    <x v="1"/>
  </r>
  <r>
    <s v="CLM-10094"/>
    <d v="2023-06-28T00:00:00"/>
    <d v="2023-08-02T00:00:00"/>
    <d v="2023-12-29T00:00:00"/>
    <n v="23264.32"/>
    <x v="0"/>
    <n v="6"/>
    <n v="1"/>
    <n v="2023"/>
    <x v="1"/>
  </r>
  <r>
    <s v="CLM-10130"/>
    <d v="2020-12-06T00:00:00"/>
    <d v="2021-02-18T00:00:00"/>
    <d v="2021-09-22T00:00:00"/>
    <n v="44757.96"/>
    <x v="3"/>
    <n v="9"/>
    <n v="1"/>
    <n v="2021"/>
    <x v="0"/>
  </r>
  <r>
    <s v="CLM-10191"/>
    <d v="2024-10-23T00:00:00"/>
    <m/>
    <d v="2025-02-23T00:00:00"/>
    <n v="56508.39"/>
    <x v="4"/>
    <n v="4"/>
    <n v="1"/>
    <n v="2025"/>
    <x v="0"/>
  </r>
  <r>
    <s v="CLM-10499"/>
    <d v="2023-01-08T00:00:00"/>
    <d v="2023-03-19T00:00:00"/>
    <d v="2023-10-02T00:00:00"/>
    <n v="73773.09"/>
    <x v="0"/>
    <n v="9"/>
    <n v="1"/>
    <n v="2023"/>
    <x v="1"/>
  </r>
  <r>
    <s v="CLM-10416"/>
    <d v="2022-03-28T00:00:00"/>
    <m/>
    <d v="2023-04-05T00:00:00"/>
    <n v="27727.51"/>
    <x v="2"/>
    <n v="13"/>
    <n v="2"/>
    <n v="2023"/>
    <x v="0"/>
  </r>
  <r>
    <s v="CLM-10306"/>
    <d v="2024-08-02T00:00:00"/>
    <d v="2024-08-05T00:00:00"/>
    <d v="2024-08-28T00:00:00"/>
    <n v="34477.120000000003"/>
    <x v="4"/>
    <n v="0"/>
    <n v="0"/>
    <n v="2024"/>
    <x v="1"/>
  </r>
  <r>
    <s v="CLM-10593"/>
    <d v="2021-03-11T00:00:00"/>
    <d v="2021-05-26T00:00:00"/>
    <d v="2021-12-26T00:00:00"/>
    <n v="8477.92"/>
    <x v="1"/>
    <n v="9"/>
    <n v="1"/>
    <n v="2021"/>
    <x v="1"/>
  </r>
  <r>
    <s v="CLM-10492"/>
    <d v="2024-02-27T00:00:00"/>
    <d v="2024-04-15T00:00:00"/>
    <d v="2024-08-24T00:00:00"/>
    <n v="13626.43"/>
    <x v="4"/>
    <n v="6"/>
    <n v="1"/>
    <n v="2024"/>
    <x v="1"/>
  </r>
  <r>
    <s v="CLM-10157"/>
    <d v="2020-12-19T00:00:00"/>
    <d v="2021-01-27T00:00:00"/>
    <d v="2021-07-01T00:00:00"/>
    <n v="73215.5"/>
    <x v="3"/>
    <n v="7"/>
    <n v="1"/>
    <n v="2021"/>
    <x v="0"/>
  </r>
  <r>
    <s v="CLM-10672"/>
    <d v="2021-07-09T00:00:00"/>
    <d v="2021-08-25T00:00:00"/>
    <d v="2021-12-07T00:00:00"/>
    <n v="10435.01"/>
    <x v="1"/>
    <n v="5"/>
    <n v="1"/>
    <n v="2021"/>
    <x v="1"/>
  </r>
  <r>
    <s v="CLM-10020"/>
    <d v="2024-05-09T00:00:00"/>
    <d v="2024-07-13T00:00:00"/>
    <d v="2025-05-01T00:00:00"/>
    <n v="-22880.69"/>
    <x v="4"/>
    <n v="12"/>
    <n v="1"/>
    <n v="2025"/>
    <x v="0"/>
  </r>
  <r>
    <s v="CLM-10698"/>
    <d v="2024-04-24T00:00:00"/>
    <d v="2024-07-13T00:00:00"/>
    <d v="2024-11-16T00:00:00"/>
    <n v="12420.85"/>
    <x v="4"/>
    <n v="7"/>
    <n v="1"/>
    <n v="2024"/>
    <x v="1"/>
  </r>
  <r>
    <s v="CLM-10054"/>
    <d v="2021-04-24T00:00:00"/>
    <d v="2021-05-10T00:00:00"/>
    <d v="2022-01-16T00:00:00"/>
    <n v="14774.02"/>
    <x v="1"/>
    <n v="9"/>
    <n v="1"/>
    <n v="2022"/>
    <x v="0"/>
  </r>
  <r>
    <s v="CLM-10275"/>
    <d v="2023-10-12T00:00:00"/>
    <d v="2023-12-31T00:00:00"/>
    <d v="2024-11-19T00:00:00"/>
    <n v="-1634.73"/>
    <x v="0"/>
    <n v="13"/>
    <n v="2"/>
    <n v="2024"/>
    <x v="0"/>
  </r>
  <r>
    <s v="CLM-10455"/>
    <d v="2023-09-17T00:00:00"/>
    <d v="2023-10-10T00:00:00"/>
    <d v="2024-09-06T00:00:00"/>
    <n v="66117.899999999994"/>
    <x v="0"/>
    <n v="12"/>
    <n v="1"/>
    <n v="2024"/>
    <x v="0"/>
  </r>
  <r>
    <s v="CLM-10050"/>
    <d v="2023-10-05T00:00:00"/>
    <d v="2023-10-07T00:00:00"/>
    <d v="2024-04-27T00:00:00"/>
    <n v="43717.07"/>
    <x v="0"/>
    <n v="6"/>
    <n v="1"/>
    <n v="2024"/>
    <x v="0"/>
  </r>
  <r>
    <s v="CLM-10204"/>
    <d v="2022-02-15T00:00:00"/>
    <d v="2022-05-14T00:00:00"/>
    <d v="2022-09-20T00:00:00"/>
    <n v="46262.06"/>
    <x v="2"/>
    <n v="7"/>
    <n v="1"/>
    <n v="2022"/>
    <x v="1"/>
  </r>
  <r>
    <s v="CLM-10146"/>
    <d v="2020-09-10T00:00:00"/>
    <d v="2020-11-21T00:00:00"/>
    <d v="2021-04-28T00:00:00"/>
    <n v="80778.44"/>
    <x v="3"/>
    <n v="7"/>
    <n v="1"/>
    <n v="2021"/>
    <x v="0"/>
  </r>
  <r>
    <s v="CLM-10296"/>
    <d v="2021-12-26T00:00:00"/>
    <d v="2022-02-17T00:00:00"/>
    <d v="2023-01-31T00:00:00"/>
    <n v="21043.68"/>
    <x v="1"/>
    <n v="13"/>
    <n v="2"/>
    <n v="2023"/>
    <x v="2"/>
  </r>
  <r>
    <s v="CLM-10164"/>
    <d v="2023-05-27T00:00:00"/>
    <d v="2023-06-08T00:00:00"/>
    <d v="2023-12-02T00:00:00"/>
    <n v="-6035.9"/>
    <x v="0"/>
    <n v="7"/>
    <n v="1"/>
    <n v="2023"/>
    <x v="1"/>
  </r>
  <r>
    <s v="CLM-10073"/>
    <d v="2023-03-15T00:00:00"/>
    <d v="2023-06-08T00:00:00"/>
    <d v="2023-10-12T00:00:00"/>
    <n v="12371.38"/>
    <x v="0"/>
    <n v="7"/>
    <n v="1"/>
    <n v="2023"/>
    <x v="1"/>
  </r>
  <r>
    <s v="CLM-10186"/>
    <d v="2020-04-14T00:00:00"/>
    <d v="2020-04-30T00:00:00"/>
    <d v="2020-11-27T00:00:00"/>
    <n v="84570.92"/>
    <x v="3"/>
    <n v="7"/>
    <n v="1"/>
    <n v="2020"/>
    <x v="1"/>
  </r>
  <r>
    <s v="CLM-10089"/>
    <d v="2021-11-22T00:00:00"/>
    <d v="2021-12-29T00:00:00"/>
    <d v="2022-07-04T00:00:00"/>
    <n v="72714.880000000005"/>
    <x v="1"/>
    <n v="8"/>
    <n v="1"/>
    <n v="2022"/>
    <x v="0"/>
  </r>
  <r>
    <s v="CLM-10271"/>
    <d v="2021-05-25T00:00:00"/>
    <m/>
    <d v="2021-08-07T00:00:00"/>
    <n v="77412.12"/>
    <x v="1"/>
    <n v="3"/>
    <n v="1"/>
    <n v="2021"/>
    <x v="1"/>
  </r>
  <r>
    <s v="CLM-10361"/>
    <d v="2024-08-09T00:00:00"/>
    <d v="2024-09-15T00:00:00"/>
    <d v="2025-01-04T00:00:00"/>
    <n v="-2990.59"/>
    <x v="4"/>
    <n v="5"/>
    <n v="1"/>
    <n v="2025"/>
    <x v="0"/>
  </r>
  <r>
    <s v="CLM-10422"/>
    <d v="2023-11-02T00:00:00"/>
    <d v="2023-12-15T00:00:00"/>
    <d v="2024-03-11T00:00:00"/>
    <n v="-4729.47"/>
    <x v="0"/>
    <n v="4"/>
    <n v="1"/>
    <n v="2024"/>
    <x v="0"/>
  </r>
  <r>
    <s v="CLM-10624"/>
    <d v="2023-03-12T00:00:00"/>
    <d v="2023-04-18T00:00:00"/>
    <d v="2024-03-19T00:00:00"/>
    <n v="55486"/>
    <x v="0"/>
    <n v="12"/>
    <n v="1"/>
    <n v="2024"/>
    <x v="0"/>
  </r>
  <r>
    <s v="CLM-10308"/>
    <d v="2023-06-13T00:00:00"/>
    <d v="2023-08-18T00:00:00"/>
    <d v="2024-09-12T00:00:00"/>
    <n v="4908.13"/>
    <x v="0"/>
    <n v="15"/>
    <n v="2"/>
    <n v="2024"/>
    <x v="0"/>
  </r>
  <r>
    <s v="CLM-10305"/>
    <d v="2023-10-04T00:00:00"/>
    <d v="2023-11-16T00:00:00"/>
    <d v="2024-04-04T00:00:00"/>
    <n v="12270.09"/>
    <x v="0"/>
    <n v="6"/>
    <n v="1"/>
    <n v="2024"/>
    <x v="0"/>
  </r>
  <r>
    <s v="CLM-10733"/>
    <d v="2021-09-06T00:00:00"/>
    <d v="2021-10-18T00:00:00"/>
    <d v="2022-02-12T00:00:00"/>
    <n v="38328.78"/>
    <x v="1"/>
    <n v="5"/>
    <n v="1"/>
    <n v="2022"/>
    <x v="0"/>
  </r>
  <r>
    <s v="CLM-10368"/>
    <d v="2021-10-30T00:00:00"/>
    <d v="2021-12-02T00:00:00"/>
    <d v="2022-05-09T00:00:00"/>
    <n v="34691.19"/>
    <x v="1"/>
    <n v="7"/>
    <n v="1"/>
    <n v="2022"/>
    <x v="0"/>
  </r>
  <r>
    <s v="CLM-10011"/>
    <d v="2020-03-23T00:00:00"/>
    <d v="2020-04-06T00:00:00"/>
    <d v="2020-10-17T00:00:00"/>
    <n v="-20741.68"/>
    <x v="3"/>
    <n v="7"/>
    <n v="1"/>
    <n v="2020"/>
    <x v="1"/>
  </r>
  <r>
    <s v="CLM-10453"/>
    <d v="2022-02-14T00:00:00"/>
    <d v="2022-03-16T00:00:00"/>
    <d v="2022-08-27T00:00:00"/>
    <n v="3829.82"/>
    <x v="2"/>
    <n v="6"/>
    <n v="1"/>
    <n v="2022"/>
    <x v="1"/>
  </r>
  <r>
    <s v="CLM-10171"/>
    <d v="2021-09-13T00:00:00"/>
    <d v="2021-11-10T00:00:00"/>
    <d v="2022-04-23T00:00:00"/>
    <n v="81169.52"/>
    <x v="1"/>
    <n v="7"/>
    <n v="1"/>
    <n v="2022"/>
    <x v="0"/>
  </r>
  <r>
    <s v="CLM-10137"/>
    <d v="2023-01-10T00:00:00"/>
    <d v="2023-02-11T00:00:00"/>
    <d v="2023-05-25T00:00:00"/>
    <n v="17602.32"/>
    <x v="0"/>
    <n v="4"/>
    <n v="1"/>
    <n v="2023"/>
    <x v="1"/>
  </r>
  <r>
    <s v="CLM-10145"/>
    <d v="2020-01-21T00:00:00"/>
    <d v="2020-03-11T00:00:00"/>
    <d v="2019-12-05T00:00:00"/>
    <n v="30151.279999999999"/>
    <x v="3"/>
    <n v="-1"/>
    <n v="0"/>
    <n v="2019"/>
    <x v="1"/>
  </r>
  <r>
    <s v="CLM-10226"/>
    <d v="2023-06-04T00:00:00"/>
    <d v="2023-08-16T00:00:00"/>
    <d v="2024-01-31T00:00:00"/>
    <n v="48406.86"/>
    <x v="0"/>
    <n v="7"/>
    <n v="1"/>
    <n v="2024"/>
    <x v="0"/>
  </r>
  <r>
    <s v="CLM-10368"/>
    <d v="2021-10-30T00:00:00"/>
    <d v="2021-12-02T00:00:00"/>
    <d v="2022-06-21T00:00:00"/>
    <n v="-10746.76"/>
    <x v="1"/>
    <n v="8"/>
    <n v="1"/>
    <n v="2022"/>
    <x v="0"/>
  </r>
  <r>
    <s v="CLM-10036"/>
    <d v="2023-12-30T00:00:00"/>
    <m/>
    <d v="2024-04-02T00:00:00"/>
    <n v="5575.03"/>
    <x v="0"/>
    <n v="4"/>
    <n v="1"/>
    <n v="2024"/>
    <x v="0"/>
  </r>
  <r>
    <s v="CLM-10665"/>
    <d v="2020-10-22T00:00:00"/>
    <d v="2020-12-05T00:00:00"/>
    <d v="2022-03-02T00:00:00"/>
    <n v="35042.129999999997"/>
    <x v="3"/>
    <n v="17"/>
    <n v="2"/>
    <n v="2022"/>
    <x v="2"/>
  </r>
  <r>
    <s v="CLM-10461"/>
    <d v="2023-06-03T00:00:00"/>
    <d v="2023-06-28T00:00:00"/>
    <d v="2023-11-23T00:00:00"/>
    <n v="-17120.330000000002"/>
    <x v="0"/>
    <n v="5"/>
    <n v="1"/>
    <n v="2023"/>
    <x v="1"/>
  </r>
  <r>
    <s v="CLM-10539"/>
    <d v="2020-08-28T00:00:00"/>
    <d v="2020-11-18T00:00:00"/>
    <d v="2021-04-18T00:00:00"/>
    <n v="2866.09"/>
    <x v="3"/>
    <n v="8"/>
    <n v="1"/>
    <n v="2021"/>
    <x v="0"/>
  </r>
  <r>
    <s v="CLM-10542"/>
    <d v="2024-06-15T00:00:00"/>
    <d v="2024-07-16T00:00:00"/>
    <d v="2024-09-28T00:00:00"/>
    <n v="3327.67"/>
    <x v="4"/>
    <n v="3"/>
    <n v="1"/>
    <n v="2024"/>
    <x v="1"/>
  </r>
  <r>
    <s v="CLM-10770"/>
    <d v="2023-07-08T00:00:00"/>
    <d v="2023-08-18T00:00:00"/>
    <d v="2024-06-16T00:00:00"/>
    <n v="24435.38"/>
    <x v="0"/>
    <n v="11"/>
    <n v="1"/>
    <n v="2024"/>
    <x v="0"/>
  </r>
  <r>
    <s v="CLM-10613"/>
    <d v="2024-06-12T00:00:00"/>
    <d v="2024-09-05T00:00:00"/>
    <d v="2025-03-21T00:00:00"/>
    <n v="29681.16"/>
    <x v="4"/>
    <n v="9"/>
    <n v="1"/>
    <n v="2025"/>
    <x v="0"/>
  </r>
  <r>
    <s v="CLM-10774"/>
    <d v="2021-09-02T00:00:00"/>
    <d v="2021-10-07T00:00:00"/>
    <d v="2022-04-22T00:00:00"/>
    <n v="43257.56"/>
    <x v="1"/>
    <n v="7"/>
    <n v="1"/>
    <n v="2022"/>
    <x v="0"/>
  </r>
  <r>
    <s v="CLM-10711"/>
    <d v="2023-08-15T00:00:00"/>
    <d v="2023-08-27T00:00:00"/>
    <d v="2024-07-15T00:00:00"/>
    <n v="36629.53"/>
    <x v="0"/>
    <n v="11"/>
    <n v="1"/>
    <n v="2024"/>
    <x v="0"/>
  </r>
  <r>
    <s v="CLM-10221"/>
    <d v="2022-02-14T00:00:00"/>
    <d v="2022-04-25T00:00:00"/>
    <d v="2023-01-06T00:00:00"/>
    <n v="-10856.29"/>
    <x v="2"/>
    <n v="11"/>
    <n v="1"/>
    <n v="2023"/>
    <x v="0"/>
  </r>
  <r>
    <s v="CLM-10281"/>
    <d v="2024-08-06T00:00:00"/>
    <d v="2024-10-23T00:00:00"/>
    <d v="2025-03-02T00:00:00"/>
    <n v="44218.29"/>
    <x v="4"/>
    <n v="7"/>
    <n v="1"/>
    <n v="2025"/>
    <x v="0"/>
  </r>
  <r>
    <s v="CLM-10608"/>
    <d v="2020-06-26T00:00:00"/>
    <d v="2020-08-20T00:00:00"/>
    <d v="2021-07-04T00:00:00"/>
    <n v="33317.199999999997"/>
    <x v="3"/>
    <n v="13"/>
    <n v="2"/>
    <n v="2021"/>
    <x v="0"/>
  </r>
  <r>
    <s v="CLM-10162"/>
    <d v="2020-02-24T00:00:00"/>
    <d v="2020-04-24T00:00:00"/>
    <d v="2020-05-27T00:00:00"/>
    <n v="61415.01"/>
    <x v="3"/>
    <n v="3"/>
    <n v="1"/>
    <n v="2020"/>
    <x v="1"/>
  </r>
  <r>
    <s v="CLM-10215"/>
    <d v="2022-05-18T00:00:00"/>
    <d v="2022-06-05T00:00:00"/>
    <d v="2023-01-08T00:00:00"/>
    <n v="12180.4"/>
    <x v="2"/>
    <n v="8"/>
    <n v="1"/>
    <n v="2023"/>
    <x v="0"/>
  </r>
  <r>
    <s v="CLM-10225"/>
    <d v="2022-12-14T00:00:00"/>
    <d v="2023-02-01T00:00:00"/>
    <d v="2023-07-28T00:00:00"/>
    <n v="82932.23"/>
    <x v="2"/>
    <n v="7"/>
    <n v="1"/>
    <n v="2023"/>
    <x v="0"/>
  </r>
  <r>
    <s v="CLM-10035"/>
    <d v="2023-06-12T00:00:00"/>
    <d v="2023-08-11T00:00:00"/>
    <d v="2024-02-27T00:00:00"/>
    <n v="5458.9"/>
    <x v="0"/>
    <n v="8"/>
    <n v="1"/>
    <n v="2024"/>
    <x v="0"/>
  </r>
  <r>
    <s v="CLM-10734"/>
    <d v="2020-05-02T00:00:00"/>
    <d v="2020-06-10T00:00:00"/>
    <d v="2021-04-04T00:00:00"/>
    <n v="54966.559999999998"/>
    <x v="3"/>
    <n v="11"/>
    <n v="1"/>
    <n v="2021"/>
    <x v="0"/>
  </r>
  <r>
    <s v="CLM-10074"/>
    <d v="2022-05-14T00:00:00"/>
    <d v="2022-06-22T00:00:00"/>
    <d v="2023-05-27T00:00:00"/>
    <n v="68944.78"/>
    <x v="2"/>
    <n v="12"/>
    <n v="1"/>
    <n v="2023"/>
    <x v="0"/>
  </r>
  <r>
    <s v="CLM-10258"/>
    <d v="2022-09-21T00:00:00"/>
    <d v="2022-12-07T00:00:00"/>
    <d v="2024-05-27T00:00:00"/>
    <n v="57755.99"/>
    <x v="2"/>
    <n v="20"/>
    <n v="2"/>
    <n v="2024"/>
    <x v="2"/>
  </r>
  <r>
    <s v="CLM-10620"/>
    <d v="2024-02-20T00:00:00"/>
    <d v="2024-05-19T00:00:00"/>
    <d v="2024-09-17T00:00:00"/>
    <n v="61732.06"/>
    <x v="4"/>
    <n v="7"/>
    <n v="1"/>
    <n v="2024"/>
    <x v="1"/>
  </r>
  <r>
    <s v="CLM-10128"/>
    <d v="2022-01-16T00:00:00"/>
    <d v="2022-01-26T00:00:00"/>
    <d v="2022-06-10T00:00:00"/>
    <n v="68893.649999999994"/>
    <x v="2"/>
    <n v="5"/>
    <n v="1"/>
    <n v="2022"/>
    <x v="1"/>
  </r>
  <r>
    <s v="CLM-10714"/>
    <d v="2023-03-03T00:00:00"/>
    <d v="2023-03-04T00:00:00"/>
    <d v="2023-10-26T00:00:00"/>
    <n v="-10021.14"/>
    <x v="0"/>
    <n v="7"/>
    <n v="1"/>
    <n v="2023"/>
    <x v="1"/>
  </r>
  <r>
    <s v="CLM-10678"/>
    <d v="2022-12-22T00:00:00"/>
    <d v="2023-03-11T00:00:00"/>
    <d v="2023-07-01T00:00:00"/>
    <n v="47832.56"/>
    <x v="2"/>
    <n v="7"/>
    <n v="1"/>
    <n v="2023"/>
    <x v="0"/>
  </r>
  <r>
    <s v="CLM-10027"/>
    <d v="2021-06-20T00:00:00"/>
    <d v="2021-08-27T00:00:00"/>
    <d v="2022-07-14T00:00:00"/>
    <n v="15959.2"/>
    <x v="1"/>
    <n v="13"/>
    <n v="2"/>
    <n v="2022"/>
    <x v="0"/>
  </r>
  <r>
    <s v="CLM-10427"/>
    <d v="2021-02-16T00:00:00"/>
    <d v="2021-04-15T00:00:00"/>
    <d v="2022-07-05T00:00:00"/>
    <n v="25550"/>
    <x v="1"/>
    <n v="17"/>
    <n v="2"/>
    <n v="2022"/>
    <x v="0"/>
  </r>
  <r>
    <s v="CLM-10499"/>
    <d v="2023-01-08T00:00:00"/>
    <d v="2023-03-19T00:00:00"/>
    <d v="2024-10-04T00:00:00"/>
    <n v="35792.230000000003"/>
    <x v="0"/>
    <n v="21"/>
    <n v="2"/>
    <n v="2024"/>
    <x v="0"/>
  </r>
  <r>
    <s v="CLM-10291"/>
    <d v="2021-10-21T00:00:00"/>
    <d v="2022-01-05T00:00:00"/>
    <d v="2022-07-01T00:00:00"/>
    <n v="-12721.11"/>
    <x v="1"/>
    <n v="9"/>
    <n v="1"/>
    <n v="2022"/>
    <x v="0"/>
  </r>
  <r>
    <s v="CLM-10319"/>
    <d v="2024-05-14T00:00:00"/>
    <d v="2024-05-31T00:00:00"/>
    <d v="2024-12-11T00:00:00"/>
    <n v="16483.68"/>
    <x v="4"/>
    <n v="7"/>
    <n v="1"/>
    <n v="2024"/>
    <x v="1"/>
  </r>
  <r>
    <s v="CLM-10665"/>
    <d v="2020-10-22T00:00:00"/>
    <d v="2020-12-05T00:00:00"/>
    <d v="2021-07-26T00:00:00"/>
    <n v="68441.179999999993"/>
    <x v="3"/>
    <n v="9"/>
    <n v="1"/>
    <n v="2021"/>
    <x v="0"/>
  </r>
  <r>
    <s v="CLM-10739"/>
    <d v="2022-04-28T00:00:00"/>
    <d v="2022-06-04T00:00:00"/>
    <d v="2022-07-28T00:00:00"/>
    <n v="2484.89"/>
    <x v="2"/>
    <n v="3"/>
    <n v="1"/>
    <n v="2022"/>
    <x v="1"/>
  </r>
  <r>
    <s v="CLM-10313"/>
    <d v="2024-08-29T00:00:00"/>
    <d v="2024-10-06T00:00:00"/>
    <d v="2024-11-02T00:00:00"/>
    <n v="31831.79"/>
    <x v="4"/>
    <n v="3"/>
    <n v="1"/>
    <n v="2024"/>
    <x v="1"/>
  </r>
  <r>
    <s v="CLM-10295"/>
    <d v="2020-09-24T00:00:00"/>
    <d v="2020-10-28T00:00:00"/>
    <d v="2021-03-24T00:00:00"/>
    <n v="14075.97"/>
    <x v="3"/>
    <n v="6"/>
    <n v="1"/>
    <n v="2021"/>
    <x v="0"/>
  </r>
  <r>
    <s v="CLM-10342"/>
    <d v="2022-09-06T00:00:00"/>
    <d v="2022-11-15T00:00:00"/>
    <d v="2023-01-17T00:00:00"/>
    <n v="43301.3"/>
    <x v="2"/>
    <n v="4"/>
    <n v="1"/>
    <n v="2023"/>
    <x v="0"/>
  </r>
  <r>
    <s v="CLM-10222"/>
    <d v="2024-01-06T00:00:00"/>
    <d v="2024-04-01T00:00:00"/>
    <d v="2024-11-19T00:00:00"/>
    <n v="57772.62"/>
    <x v="4"/>
    <n v="10"/>
    <n v="1"/>
    <n v="2024"/>
    <x v="1"/>
  </r>
  <r>
    <s v="CLM-10576"/>
    <d v="2022-12-16T00:00:00"/>
    <d v="2023-02-17T00:00:00"/>
    <d v="2023-05-26T00:00:00"/>
    <n v="-17766.05"/>
    <x v="2"/>
    <n v="5"/>
    <n v="1"/>
    <n v="2023"/>
    <x v="0"/>
  </r>
  <r>
    <s v="CLM-10538"/>
    <d v="2021-12-30T00:00:00"/>
    <d v="2022-03-26T00:00:00"/>
    <d v="2022-06-02T00:00:00"/>
    <n v="55039.89"/>
    <x v="1"/>
    <n v="6"/>
    <n v="1"/>
    <n v="2022"/>
    <x v="0"/>
  </r>
  <r>
    <s v="CLM-10346"/>
    <d v="2022-10-15T00:00:00"/>
    <m/>
    <d v="2023-03-06T00:00:00"/>
    <n v="19217.16"/>
    <x v="2"/>
    <n v="5"/>
    <n v="1"/>
    <n v="2023"/>
    <x v="0"/>
  </r>
  <r>
    <s v="CLM-10371"/>
    <d v="2020-05-14T00:00:00"/>
    <d v="2020-06-27T00:00:00"/>
    <d v="2022-01-22T00:00:00"/>
    <n v="69436.37"/>
    <x v="3"/>
    <n v="20"/>
    <n v="2"/>
    <n v="2022"/>
    <x v="2"/>
  </r>
  <r>
    <s v="CLM-10349"/>
    <d v="2022-02-13T00:00:00"/>
    <d v="2022-03-11T00:00:00"/>
    <d v="2023-05-20T00:00:00"/>
    <n v="39792.9"/>
    <x v="2"/>
    <n v="15"/>
    <n v="2"/>
    <n v="2023"/>
    <x v="0"/>
  </r>
  <r>
    <s v="CLM-10466"/>
    <d v="2021-04-19T00:00:00"/>
    <d v="2021-05-20T00:00:00"/>
    <d v="2022-08-16T00:00:00"/>
    <n v="58454.47"/>
    <x v="1"/>
    <n v="16"/>
    <n v="2"/>
    <n v="2022"/>
    <x v="0"/>
  </r>
  <r>
    <s v="CLM-10011"/>
    <d v="2020-03-23T00:00:00"/>
    <d v="2020-04-06T00:00:00"/>
    <d v="2021-11-03T00:00:00"/>
    <n v="15894.17"/>
    <x v="3"/>
    <n v="20"/>
    <n v="2"/>
    <n v="2021"/>
    <x v="0"/>
  </r>
  <r>
    <s v="CLM-10454"/>
    <d v="2020-01-13T00:00:00"/>
    <d v="2020-02-05T00:00:00"/>
    <d v="2020-03-22T00:00:00"/>
    <n v="9020.18"/>
    <x v="3"/>
    <n v="2"/>
    <n v="1"/>
    <n v="2020"/>
    <x v="1"/>
  </r>
  <r>
    <s v="CLM-10639"/>
    <d v="2021-05-03T00:00:00"/>
    <d v="2021-07-09T00:00:00"/>
    <d v="2021-12-04T00:00:00"/>
    <n v="49004.23"/>
    <x v="1"/>
    <n v="7"/>
    <n v="1"/>
    <n v="2021"/>
    <x v="1"/>
  </r>
  <r>
    <s v="CLM-10258"/>
    <d v="2022-09-21T00:00:00"/>
    <d v="2022-12-07T00:00:00"/>
    <d v="2023-06-03T00:00:00"/>
    <n v="84838.67"/>
    <x v="2"/>
    <n v="9"/>
    <n v="1"/>
    <n v="2023"/>
    <x v="0"/>
  </r>
  <r>
    <s v="CLM-10714"/>
    <d v="2023-03-03T00:00:00"/>
    <d v="2023-03-04T00:00:00"/>
    <d v="2024-05-06T00:00:00"/>
    <n v="15058.91"/>
    <x v="0"/>
    <n v="14"/>
    <n v="2"/>
    <n v="2024"/>
    <x v="0"/>
  </r>
  <r>
    <s v="CLM-10670"/>
    <d v="2022-07-16T00:00:00"/>
    <d v="2022-09-27T00:00:00"/>
    <d v="2023-04-06T00:00:00"/>
    <n v="73148.45"/>
    <x v="2"/>
    <n v="9"/>
    <n v="1"/>
    <n v="2023"/>
    <x v="0"/>
  </r>
  <r>
    <s v="CLM-10640"/>
    <d v="2023-11-08T00:00:00"/>
    <d v="2023-11-09T00:00:00"/>
    <d v="2024-03-21T00:00:00"/>
    <n v="40666.620000000003"/>
    <x v="0"/>
    <n v="4"/>
    <n v="1"/>
    <n v="2024"/>
    <x v="0"/>
  </r>
  <r>
    <s v="CLM-10352"/>
    <d v="2021-03-05T00:00:00"/>
    <d v="2021-04-15T00:00:00"/>
    <d v="2021-10-15T00:00:00"/>
    <n v="22701.439999999999"/>
    <x v="1"/>
    <n v="7"/>
    <n v="1"/>
    <n v="2021"/>
    <x v="1"/>
  </r>
  <r>
    <s v="CLM-10229"/>
    <d v="2022-11-22T00:00:00"/>
    <d v="2023-01-23T00:00:00"/>
    <d v="2023-05-07T00:00:00"/>
    <n v="31281.45"/>
    <x v="2"/>
    <n v="6"/>
    <n v="1"/>
    <n v="2023"/>
    <x v="0"/>
  </r>
  <r>
    <s v="CLM-10735"/>
    <d v="2024-09-02T00:00:00"/>
    <d v="2024-10-21T00:00:00"/>
    <d v="2025-02-07T00:00:00"/>
    <n v="56641.67"/>
    <x v="4"/>
    <n v="5"/>
    <n v="1"/>
    <n v="2025"/>
    <x v="0"/>
  </r>
  <r>
    <s v="CLM-10174"/>
    <d v="2021-12-04T00:00:00"/>
    <d v="2022-01-29T00:00:00"/>
    <d v="2022-04-16T00:00:00"/>
    <n v="74441.59"/>
    <x v="1"/>
    <n v="4"/>
    <n v="1"/>
    <n v="2022"/>
    <x v="0"/>
  </r>
  <r>
    <s v="CLM-10491"/>
    <d v="2023-01-22T00:00:00"/>
    <d v="2023-03-22T00:00:00"/>
    <d v="2023-09-19T00:00:00"/>
    <n v="70780.75"/>
    <x v="0"/>
    <n v="8"/>
    <n v="1"/>
    <n v="2023"/>
    <x v="1"/>
  </r>
  <r>
    <s v="CLM-10143"/>
    <d v="2023-08-12T00:00:00"/>
    <d v="2023-09-15T00:00:00"/>
    <d v="2023-11-03T00:00:00"/>
    <n v="18621.63"/>
    <x v="0"/>
    <n v="3"/>
    <n v="1"/>
    <n v="2023"/>
    <x v="1"/>
  </r>
  <r>
    <s v="CLM-10738"/>
    <d v="2020-12-21T00:00:00"/>
    <d v="2021-02-27T00:00:00"/>
    <d v="2022-04-28T00:00:00"/>
    <n v="22043.11"/>
    <x v="3"/>
    <n v="16"/>
    <n v="2"/>
    <n v="2022"/>
    <x v="2"/>
  </r>
  <r>
    <s v="CLM-10325"/>
    <d v="2023-06-18T00:00:00"/>
    <d v="2023-08-06T00:00:00"/>
    <d v="2024-09-16T00:00:00"/>
    <n v="22437.79"/>
    <x v="0"/>
    <n v="15"/>
    <n v="2"/>
    <n v="2024"/>
    <x v="0"/>
  </r>
  <r>
    <s v="CLM-10441"/>
    <d v="2023-09-25T00:00:00"/>
    <d v="2023-11-14T00:00:00"/>
    <d v="2023-12-22T00:00:00"/>
    <n v="55709.2"/>
    <x v="0"/>
    <n v="3"/>
    <n v="1"/>
    <n v="2023"/>
    <x v="1"/>
  </r>
  <r>
    <s v="CLM-10739"/>
    <d v="2022-04-28T00:00:00"/>
    <d v="2022-06-04T00:00:00"/>
    <d v="2022-11-08T00:00:00"/>
    <n v="33851.379999999997"/>
    <x v="2"/>
    <n v="7"/>
    <n v="1"/>
    <n v="2022"/>
    <x v="1"/>
  </r>
  <r>
    <s v="CLM-10768"/>
    <d v="2023-04-21T00:00:00"/>
    <d v="2023-06-26T00:00:00"/>
    <d v="2023-08-19T00:00:00"/>
    <n v="82008.259999999995"/>
    <x v="0"/>
    <n v="4"/>
    <n v="1"/>
    <n v="2023"/>
    <x v="1"/>
  </r>
  <r>
    <s v="CLM-10330"/>
    <d v="2021-09-09T00:00:00"/>
    <d v="2021-10-11T00:00:00"/>
    <d v="2022-10-08T00:00:00"/>
    <n v="24218.560000000001"/>
    <x v="1"/>
    <n v="13"/>
    <n v="2"/>
    <n v="2022"/>
    <x v="0"/>
  </r>
  <r>
    <s v="CLM-10216"/>
    <d v="2020-12-26T00:00:00"/>
    <d v="2021-01-26T00:00:00"/>
    <d v="2021-06-17T00:00:00"/>
    <n v="73052.179999999993"/>
    <x v="3"/>
    <n v="6"/>
    <n v="1"/>
    <n v="2021"/>
    <x v="0"/>
  </r>
  <r>
    <s v="CLM-10218"/>
    <d v="2024-07-29T00:00:00"/>
    <d v="2024-09-23T00:00:00"/>
    <d v="2025-05-23T00:00:00"/>
    <n v="-13229.89"/>
    <x v="4"/>
    <n v="10"/>
    <n v="1"/>
    <n v="2025"/>
    <x v="0"/>
  </r>
  <r>
    <s v="CLM-10084"/>
    <d v="2022-06-24T00:00:00"/>
    <d v="2022-08-20T00:00:00"/>
    <d v="2023-05-12T00:00:00"/>
    <n v="13598.15"/>
    <x v="2"/>
    <n v="11"/>
    <n v="1"/>
    <n v="2023"/>
    <x v="0"/>
  </r>
  <r>
    <s v="CLM-10230"/>
    <d v="2020-09-27T00:00:00"/>
    <d v="2020-11-09T00:00:00"/>
    <d v="2022-02-10T00:00:00"/>
    <n v="69398.84"/>
    <x v="3"/>
    <n v="17"/>
    <n v="2"/>
    <n v="2022"/>
    <x v="2"/>
  </r>
  <r>
    <s v="CLM-10127"/>
    <d v="2023-07-03T00:00:00"/>
    <d v="2023-07-11T00:00:00"/>
    <d v="2024-11-09T00:00:00"/>
    <n v="18407.3"/>
    <x v="0"/>
    <n v="16"/>
    <n v="2"/>
    <n v="2024"/>
    <x v="0"/>
  </r>
  <r>
    <s v="CLM-10443"/>
    <d v="2021-04-06T00:00:00"/>
    <d v="2021-05-18T00:00:00"/>
    <d v="2021-07-23T00:00:00"/>
    <n v="79758.47"/>
    <x v="1"/>
    <n v="3"/>
    <n v="1"/>
    <n v="2021"/>
    <x v="1"/>
  </r>
  <r>
    <s v="CLM-10582"/>
    <d v="2020-04-30T00:00:00"/>
    <d v="2020-06-20T00:00:00"/>
    <d v="2020-11-21T00:00:00"/>
    <n v="38276.94"/>
    <x v="3"/>
    <n v="7"/>
    <n v="1"/>
    <n v="2020"/>
    <x v="1"/>
  </r>
  <r>
    <s v="CLM-10456"/>
    <d v="2021-11-29T00:00:00"/>
    <d v="2021-12-08T00:00:00"/>
    <d v="2022-08-12T00:00:00"/>
    <n v="-8146.1"/>
    <x v="1"/>
    <n v="9"/>
    <n v="1"/>
    <n v="2022"/>
    <x v="0"/>
  </r>
  <r>
    <s v="CLM-10500"/>
    <d v="2024-02-18T00:00:00"/>
    <d v="2024-04-24T00:00:00"/>
    <d v="2024-09-10T00:00:00"/>
    <n v="58970.95"/>
    <x v="4"/>
    <n v="7"/>
    <n v="1"/>
    <n v="2024"/>
    <x v="1"/>
  </r>
  <r>
    <s v="CLM-10726"/>
    <d v="2021-09-17T00:00:00"/>
    <d v="2021-11-10T00:00:00"/>
    <d v="2022-11-23T00:00:00"/>
    <n v="19608.59"/>
    <x v="1"/>
    <n v="14"/>
    <n v="2"/>
    <n v="2022"/>
    <x v="0"/>
  </r>
  <r>
    <s v="CLM-10778"/>
    <d v="2020-09-16T00:00:00"/>
    <d v="2020-09-22T00:00:00"/>
    <d v="2020-12-25T00:00:00"/>
    <n v="14008.58"/>
    <x v="3"/>
    <n v="3"/>
    <n v="1"/>
    <n v="2020"/>
    <x v="1"/>
  </r>
  <r>
    <s v="CLM-10763"/>
    <d v="2022-04-17T00:00:00"/>
    <d v="2022-06-26T00:00:00"/>
    <d v="2022-08-08T00:00:00"/>
    <n v="-6276.12"/>
    <x v="2"/>
    <n v="4"/>
    <n v="1"/>
    <n v="2022"/>
    <x v="1"/>
  </r>
  <r>
    <s v="CLM-10527"/>
    <d v="2020-04-29T00:00:00"/>
    <d v="2020-06-28T00:00:00"/>
    <d v="2021-06-06T00:00:00"/>
    <n v="45108.49"/>
    <x v="3"/>
    <n v="14"/>
    <n v="2"/>
    <n v="2021"/>
    <x v="0"/>
  </r>
  <r>
    <s v="CLM-10418"/>
    <d v="2021-10-26T00:00:00"/>
    <d v="2021-11-30T00:00:00"/>
    <d v="2023-03-02T00:00:00"/>
    <n v="39260.35"/>
    <x v="1"/>
    <n v="17"/>
    <n v="2"/>
    <n v="2023"/>
    <x v="2"/>
  </r>
  <r>
    <s v="CLM-10589"/>
    <d v="2020-01-24T00:00:00"/>
    <d v="2020-04-20T00:00:00"/>
    <d v="2021-03-25T00:00:00"/>
    <n v="77293.77"/>
    <x v="3"/>
    <n v="14"/>
    <n v="2"/>
    <n v="2021"/>
    <x v="0"/>
  </r>
  <r>
    <s v="CLM-10545"/>
    <d v="2022-06-02T00:00:00"/>
    <d v="2022-07-17T00:00:00"/>
    <d v="2023-08-18T00:00:00"/>
    <n v="61416.27"/>
    <x v="2"/>
    <n v="14"/>
    <n v="2"/>
    <n v="2023"/>
    <x v="0"/>
  </r>
  <r>
    <s v="CLM-10510"/>
    <d v="2022-12-19T00:00:00"/>
    <d v="2023-01-26T00:00:00"/>
    <d v="2023-05-16T00:00:00"/>
    <n v="11739.02"/>
    <x v="2"/>
    <n v="5"/>
    <n v="1"/>
    <n v="2023"/>
    <x v="0"/>
  </r>
  <r>
    <s v="CLM-10483"/>
    <d v="2021-02-16T00:00:00"/>
    <d v="2021-03-07T00:00:00"/>
    <d v="2021-05-02T00:00:00"/>
    <n v="8323.2099999999991"/>
    <x v="1"/>
    <n v="3"/>
    <n v="1"/>
    <n v="2021"/>
    <x v="1"/>
  </r>
  <r>
    <s v="CLM-10491"/>
    <d v="2023-01-22T00:00:00"/>
    <d v="2023-03-22T00:00:00"/>
    <d v="2023-12-28T00:00:00"/>
    <n v="12523.87"/>
    <x v="0"/>
    <n v="11"/>
    <n v="1"/>
    <n v="2023"/>
    <x v="1"/>
  </r>
  <r>
    <s v="CLM-10542"/>
    <d v="2024-06-15T00:00:00"/>
    <d v="2024-07-16T00:00:00"/>
    <d v="2025-03-23T00:00:00"/>
    <n v="38975.699999999997"/>
    <x v="4"/>
    <n v="9"/>
    <n v="1"/>
    <n v="2025"/>
    <x v="0"/>
  </r>
  <r>
    <s v="CLM-10353"/>
    <d v="2020-04-10T00:00:00"/>
    <d v="2020-07-04T00:00:00"/>
    <d v="2021-09-08T00:00:00"/>
    <n v="41260.93"/>
    <x v="3"/>
    <n v="17"/>
    <n v="2"/>
    <n v="2021"/>
    <x v="0"/>
  </r>
  <r>
    <s v="CLM-10294"/>
    <d v="2024-04-12T00:00:00"/>
    <d v="2024-04-17T00:00:00"/>
    <d v="2024-09-30T00:00:00"/>
    <n v="11606"/>
    <x v="4"/>
    <n v="5"/>
    <n v="1"/>
    <n v="2024"/>
    <x v="1"/>
  </r>
  <r>
    <s v="CLM-10459"/>
    <d v="2020-01-06T00:00:00"/>
    <d v="2020-03-05T00:00:00"/>
    <d v="2020-09-16T00:00:00"/>
    <n v="-14578.09"/>
    <x v="3"/>
    <n v="8"/>
    <n v="1"/>
    <n v="2020"/>
    <x v="1"/>
  </r>
  <r>
    <s v="CLM-10312"/>
    <d v="2021-07-01T00:00:00"/>
    <d v="2021-08-18T00:00:00"/>
    <d v="2022-01-10T00:00:00"/>
    <n v="68192.070000000007"/>
    <x v="1"/>
    <n v="6"/>
    <n v="1"/>
    <n v="2022"/>
    <x v="0"/>
  </r>
  <r>
    <s v="CLM-10717"/>
    <d v="2021-07-25T00:00:00"/>
    <d v="2021-10-05T00:00:00"/>
    <d v="2021-06-12T00:00:00"/>
    <n v="74512.17"/>
    <x v="1"/>
    <n v="-1"/>
    <n v="0"/>
    <n v="2021"/>
    <x v="1"/>
  </r>
  <r>
    <s v="CLM-10520"/>
    <d v="2023-01-27T00:00:00"/>
    <d v="2023-04-12T00:00:00"/>
    <d v="2023-11-03T00:00:00"/>
    <n v="25672.12"/>
    <x v="0"/>
    <n v="10"/>
    <n v="1"/>
    <n v="2023"/>
    <x v="1"/>
  </r>
  <r>
    <s v="CLM-10465"/>
    <d v="2021-08-14T00:00:00"/>
    <d v="2021-11-02T00:00:00"/>
    <d v="2023-04-19T00:00:00"/>
    <n v="20624.38"/>
    <x v="1"/>
    <n v="20"/>
    <n v="2"/>
    <n v="2023"/>
    <x v="2"/>
  </r>
  <r>
    <s v="CLM-10043"/>
    <d v="2022-09-09T00:00:00"/>
    <d v="2022-10-08T00:00:00"/>
    <d v="2023-05-25T00:00:00"/>
    <n v="30049.21"/>
    <x v="2"/>
    <n v="8"/>
    <n v="1"/>
    <n v="2023"/>
    <x v="0"/>
  </r>
  <r>
    <s v="CLM-10405"/>
    <d v="2021-01-28T00:00:00"/>
    <d v="2021-03-04T00:00:00"/>
    <d v="2022-10-01T00:00:00"/>
    <n v="39926.769999999997"/>
    <x v="1"/>
    <n v="21"/>
    <n v="2"/>
    <n v="2022"/>
    <x v="0"/>
  </r>
  <r>
    <s v="CLM-10136"/>
    <d v="2024-05-01T00:00:00"/>
    <d v="2024-06-03T00:00:00"/>
    <d v="2024-12-17T00:00:00"/>
    <n v="-19154.419999999998"/>
    <x v="4"/>
    <n v="7"/>
    <n v="1"/>
    <n v="2024"/>
    <x v="1"/>
  </r>
  <r>
    <s v="CLM-10676"/>
    <d v="2023-11-26T00:00:00"/>
    <d v="2024-01-31T00:00:00"/>
    <d v="2024-07-04T00:00:00"/>
    <n v="4346.6000000000004"/>
    <x v="0"/>
    <n v="8"/>
    <n v="1"/>
    <n v="2024"/>
    <x v="0"/>
  </r>
  <r>
    <s v="CLM-10132"/>
    <d v="2020-11-29T00:00:00"/>
    <d v="2021-02-21T00:00:00"/>
    <d v="2021-08-18T00:00:00"/>
    <n v="22120.14"/>
    <x v="3"/>
    <n v="9"/>
    <n v="1"/>
    <n v="2021"/>
    <x v="0"/>
  </r>
  <r>
    <s v="CLM-10254"/>
    <d v="2023-06-06T00:00:00"/>
    <d v="2023-06-14T00:00:00"/>
    <d v="2024-06-07T00:00:00"/>
    <n v="23998.32"/>
    <x v="0"/>
    <n v="12"/>
    <n v="1"/>
    <n v="2024"/>
    <x v="0"/>
  </r>
  <r>
    <s v="CLM-10465"/>
    <d v="2021-08-14T00:00:00"/>
    <d v="2021-11-02T00:00:00"/>
    <d v="2022-02-27T00:00:00"/>
    <n v="7462.41"/>
    <x v="1"/>
    <n v="6"/>
    <n v="1"/>
    <n v="2022"/>
    <x v="0"/>
  </r>
  <r>
    <s v="CLM-10011"/>
    <d v="2020-03-23T00:00:00"/>
    <d v="2020-04-06T00:00:00"/>
    <d v="2022-02-13T00:00:00"/>
    <n v="42583.72"/>
    <x v="3"/>
    <n v="23"/>
    <n v="2"/>
    <n v="2022"/>
    <x v="2"/>
  </r>
  <r>
    <s v="CLM-10038"/>
    <d v="2023-10-06T00:00:00"/>
    <d v="2023-11-04T00:00:00"/>
    <d v="2024-05-04T00:00:00"/>
    <n v="20640.38"/>
    <x v="0"/>
    <n v="7"/>
    <n v="1"/>
    <n v="2024"/>
    <x v="0"/>
  </r>
  <r>
    <s v="CLM-10501"/>
    <d v="2021-01-09T00:00:00"/>
    <d v="2021-03-29T00:00:00"/>
    <d v="2021-07-19T00:00:00"/>
    <n v="9319.5"/>
    <x v="1"/>
    <n v="6"/>
    <n v="1"/>
    <n v="2021"/>
    <x v="1"/>
  </r>
  <r>
    <s v="CLM-10789"/>
    <d v="2024-06-14T00:00:00"/>
    <d v="2024-09-05T00:00:00"/>
    <d v="2025-05-30T00:00:00"/>
    <n v="28787.8"/>
    <x v="4"/>
    <n v="11"/>
    <n v="1"/>
    <n v="2025"/>
    <x v="0"/>
  </r>
  <r>
    <s v="CLM-10138"/>
    <d v="2023-02-27T00:00:00"/>
    <d v="2023-05-07T00:00:00"/>
    <d v="2023-08-16T00:00:00"/>
    <n v="50031.87"/>
    <x v="0"/>
    <n v="6"/>
    <n v="1"/>
    <n v="2023"/>
    <x v="1"/>
  </r>
  <r>
    <s v="CLM-10237"/>
    <d v="2024-04-20T00:00:00"/>
    <d v="2024-05-30T00:00:00"/>
    <d v="2024-12-25T00:00:00"/>
    <n v="-24144.43"/>
    <x v="4"/>
    <n v="8"/>
    <n v="1"/>
    <n v="2024"/>
    <x v="1"/>
  </r>
  <r>
    <s v="CLM-10731"/>
    <d v="2020-04-05T00:00:00"/>
    <d v="2020-05-31T00:00:00"/>
    <d v="2020-09-27T00:00:00"/>
    <n v="46676.28"/>
    <x v="3"/>
    <n v="5"/>
    <n v="1"/>
    <n v="2020"/>
    <x v="1"/>
  </r>
  <r>
    <s v="CLM-10515"/>
    <d v="2023-11-02T00:00:00"/>
    <d v="2023-12-02T00:00:00"/>
    <d v="2024-04-24T00:00:00"/>
    <n v="48896.3"/>
    <x v="0"/>
    <n v="5"/>
    <n v="1"/>
    <n v="2024"/>
    <x v="0"/>
  </r>
  <r>
    <s v="CLM-10380"/>
    <d v="2021-11-25T00:00:00"/>
    <d v="2022-02-02T00:00:00"/>
    <d v="2022-10-17T00:00:00"/>
    <n v="45589.79"/>
    <x v="1"/>
    <n v="11"/>
    <n v="1"/>
    <n v="2022"/>
    <x v="0"/>
  </r>
  <r>
    <s v="CLM-10233"/>
    <d v="2020-07-08T00:00:00"/>
    <d v="2020-08-20T00:00:00"/>
    <d v="2021-09-12T00:00:00"/>
    <n v="7764.8"/>
    <x v="3"/>
    <n v="14"/>
    <n v="2"/>
    <n v="2021"/>
    <x v="0"/>
  </r>
  <r>
    <s v="CLM-10202"/>
    <d v="2022-04-25T00:00:00"/>
    <d v="2022-06-03T00:00:00"/>
    <d v="2023-01-23T00:00:00"/>
    <n v="79396.37"/>
    <x v="2"/>
    <n v="9"/>
    <n v="1"/>
    <n v="2023"/>
    <x v="0"/>
  </r>
  <r>
    <s v="CLM-10550"/>
    <d v="2024-03-14T00:00:00"/>
    <d v="2024-04-23T00:00:00"/>
    <d v="2024-06-25T00:00:00"/>
    <n v="-24055.78"/>
    <x v="4"/>
    <n v="3"/>
    <n v="1"/>
    <n v="2024"/>
    <x v="1"/>
  </r>
  <r>
    <s v="CLM-10099"/>
    <d v="2022-04-18T00:00:00"/>
    <d v="2022-07-05T00:00:00"/>
    <d v="2023-07-16T00:00:00"/>
    <n v="72372.06"/>
    <x v="2"/>
    <n v="15"/>
    <n v="2"/>
    <n v="2023"/>
    <x v="0"/>
  </r>
  <r>
    <s v="CLM-10633"/>
    <d v="2023-03-25T00:00:00"/>
    <d v="2023-03-27T00:00:00"/>
    <d v="2023-09-26T00:00:00"/>
    <n v="65057.27"/>
    <x v="0"/>
    <n v="6"/>
    <n v="1"/>
    <n v="2023"/>
    <x v="1"/>
  </r>
  <r>
    <s v="CLM-10462"/>
    <d v="2020-07-23T00:00:00"/>
    <d v="2020-08-15T00:00:00"/>
    <d v="2021-06-04T00:00:00"/>
    <n v="2772.47"/>
    <x v="3"/>
    <n v="11"/>
    <n v="1"/>
    <n v="2021"/>
    <x v="0"/>
  </r>
  <r>
    <s v="CLM-10581"/>
    <d v="2022-03-07T00:00:00"/>
    <d v="2022-05-26T00:00:00"/>
    <d v="2022-06-29T00:00:00"/>
    <n v="50094.69"/>
    <x v="2"/>
    <n v="3"/>
    <n v="1"/>
    <n v="2022"/>
    <x v="1"/>
  </r>
  <r>
    <s v="CLM-10033"/>
    <d v="2024-07-15T00:00:00"/>
    <d v="2024-09-22T00:00:00"/>
    <d v="2025-02-13T00:00:00"/>
    <n v="74504.850000000006"/>
    <x v="4"/>
    <n v="7"/>
    <n v="1"/>
    <n v="2025"/>
    <x v="0"/>
  </r>
  <r>
    <s v="CLM-10594"/>
    <d v="2024-08-04T00:00:00"/>
    <d v="2024-09-12T00:00:00"/>
    <d v="2024-12-26T00:00:00"/>
    <n v="39720.550000000003"/>
    <x v="4"/>
    <n v="4"/>
    <n v="1"/>
    <n v="2024"/>
    <x v="1"/>
  </r>
  <r>
    <s v="CLM-10774"/>
    <d v="2021-09-02T00:00:00"/>
    <d v="2021-10-07T00:00:00"/>
    <d v="2022-10-06T00:00:00"/>
    <n v="48347.78"/>
    <x v="1"/>
    <n v="13"/>
    <n v="2"/>
    <n v="2022"/>
    <x v="0"/>
  </r>
  <r>
    <s v="CLM-10640"/>
    <d v="2023-11-08T00:00:00"/>
    <d v="2023-11-09T00:00:00"/>
    <d v="2024-01-14T00:00:00"/>
    <n v="55233.59"/>
    <x v="0"/>
    <n v="2"/>
    <n v="1"/>
    <n v="2024"/>
    <x v="0"/>
  </r>
  <r>
    <s v="CLM-10707"/>
    <d v="2020-02-20T00:00:00"/>
    <d v="2020-04-20T00:00:00"/>
    <d v="2021-03-17T00:00:00"/>
    <n v="77725.06"/>
    <x v="3"/>
    <n v="13"/>
    <n v="2"/>
    <n v="2021"/>
    <x v="0"/>
  </r>
  <r>
    <s v="CLM-10332"/>
    <d v="2023-04-25T00:00:00"/>
    <d v="2023-06-10T00:00:00"/>
    <d v="2023-07-31T00:00:00"/>
    <n v="-8572.4599999999991"/>
    <x v="0"/>
    <n v="3"/>
    <n v="1"/>
    <n v="2023"/>
    <x v="1"/>
  </r>
  <r>
    <s v="CLM-10009"/>
    <d v="2022-02-22T00:00:00"/>
    <d v="2022-03-08T00:00:00"/>
    <d v="2022-07-13T00:00:00"/>
    <n v="-15716.94"/>
    <x v="2"/>
    <n v="5"/>
    <n v="1"/>
    <n v="2022"/>
    <x v="1"/>
  </r>
  <r>
    <s v="CLM-10036"/>
    <d v="2023-12-30T00:00:00"/>
    <m/>
    <d v="2024-12-08T00:00:00"/>
    <n v="33498.9"/>
    <x v="0"/>
    <n v="12"/>
    <n v="1"/>
    <n v="2024"/>
    <x v="0"/>
  </r>
  <r>
    <s v="CLM-10472"/>
    <d v="2023-03-07T00:00:00"/>
    <d v="2023-05-19T00:00:00"/>
    <d v="2023-12-05T00:00:00"/>
    <n v="61179.66"/>
    <x v="0"/>
    <n v="9"/>
    <n v="1"/>
    <n v="2023"/>
    <x v="1"/>
  </r>
  <r>
    <s v="CLM-10403"/>
    <d v="2024-07-09T00:00:00"/>
    <d v="2024-07-23T00:00:00"/>
    <d v="2024-11-11T00:00:00"/>
    <n v="44550.35"/>
    <x v="4"/>
    <n v="4"/>
    <n v="1"/>
    <n v="2024"/>
    <x v="1"/>
  </r>
  <r>
    <s v="CLM-10116"/>
    <d v="2023-04-19T00:00:00"/>
    <d v="2023-07-04T00:00:00"/>
    <d v="2023-12-26T00:00:00"/>
    <n v="84531.14"/>
    <x v="0"/>
    <n v="8"/>
    <n v="1"/>
    <n v="2023"/>
    <x v="1"/>
  </r>
  <r>
    <s v="CLM-10694"/>
    <d v="2020-10-10T00:00:00"/>
    <d v="2020-10-13T00:00:00"/>
    <d v="2021-09-15T00:00:00"/>
    <n v="19665.759999999998"/>
    <x v="3"/>
    <n v="11"/>
    <n v="1"/>
    <n v="2021"/>
    <x v="0"/>
  </r>
  <r>
    <s v="CLM-10195"/>
    <d v="2024-03-07T00:00:00"/>
    <d v="2024-03-18T00:00:00"/>
    <d v="2024-08-27T00:00:00"/>
    <n v="26056.91"/>
    <x v="4"/>
    <n v="5"/>
    <n v="1"/>
    <n v="2024"/>
    <x v="1"/>
  </r>
  <r>
    <s v="CLM-10095"/>
    <d v="2020-09-01T00:00:00"/>
    <d v="2020-11-10T00:00:00"/>
    <d v="2021-01-27T00:00:00"/>
    <n v="-12469.08"/>
    <x v="3"/>
    <n v="4"/>
    <n v="1"/>
    <n v="2021"/>
    <x v="0"/>
  </r>
  <r>
    <s v="CLM-10285"/>
    <d v="2020-12-02T00:00:00"/>
    <d v="2021-02-21T00:00:00"/>
    <d v="2022-06-07T00:00:00"/>
    <n v="49112.72"/>
    <x v="3"/>
    <n v="18"/>
    <n v="2"/>
    <n v="2022"/>
    <x v="2"/>
  </r>
  <r>
    <s v="CLM-10589"/>
    <d v="2020-01-24T00:00:00"/>
    <d v="2020-04-20T00:00:00"/>
    <d v="2021-09-24T00:00:00"/>
    <n v="57373.57"/>
    <x v="3"/>
    <n v="20"/>
    <n v="2"/>
    <n v="2021"/>
    <x v="0"/>
  </r>
  <r>
    <s v="CLM-10446"/>
    <d v="2024-11-02T00:00:00"/>
    <d v="2024-11-04T00:00:00"/>
    <d v="2025-01-20T00:00:00"/>
    <n v="67318.559999999998"/>
    <x v="4"/>
    <n v="2"/>
    <n v="1"/>
    <n v="2025"/>
    <x v="0"/>
  </r>
  <r>
    <s v="CLM-10682"/>
    <d v="2022-11-29T00:00:00"/>
    <d v="2023-01-04T00:00:00"/>
    <d v="2024-07-20T00:00:00"/>
    <n v="75435.960000000006"/>
    <x v="2"/>
    <n v="20"/>
    <n v="2"/>
    <n v="2024"/>
    <x v="2"/>
  </r>
  <r>
    <s v="CLM-10185"/>
    <d v="2023-05-04T00:00:00"/>
    <d v="2023-05-09T00:00:00"/>
    <d v="2023-10-12T00:00:00"/>
    <n v="33091.56"/>
    <x v="0"/>
    <n v="5"/>
    <n v="1"/>
    <n v="2023"/>
    <x v="1"/>
  </r>
  <r>
    <s v="CLM-10140"/>
    <d v="2021-08-19T00:00:00"/>
    <d v="2021-09-23T00:00:00"/>
    <d v="2022-08-06T00:00:00"/>
    <n v="78210.899999999994"/>
    <x v="1"/>
    <n v="12"/>
    <n v="1"/>
    <n v="2022"/>
    <x v="0"/>
  </r>
  <r>
    <s v="CLM-10544"/>
    <d v="2024-07-25T00:00:00"/>
    <d v="2024-09-14T00:00:00"/>
    <d v="2024-12-11T00:00:00"/>
    <n v="8348.26"/>
    <x v="4"/>
    <n v="5"/>
    <n v="1"/>
    <n v="2024"/>
    <x v="1"/>
  </r>
  <r>
    <s v="CLM-10741"/>
    <d v="2020-03-12T00:00:00"/>
    <d v="2020-05-26T00:00:00"/>
    <d v="2020-07-27T00:00:00"/>
    <n v="36011.440000000002"/>
    <x v="3"/>
    <n v="4"/>
    <n v="1"/>
    <n v="2020"/>
    <x v="1"/>
  </r>
  <r>
    <s v="CLM-10120"/>
    <d v="2024-05-22T00:00:00"/>
    <d v="2024-05-31T00:00:00"/>
    <d v="2025-04-01T00:00:00"/>
    <n v="28878.03"/>
    <x v="4"/>
    <n v="11"/>
    <n v="1"/>
    <n v="2025"/>
    <x v="0"/>
  </r>
  <r>
    <s v="CLM-10617"/>
    <d v="2020-07-28T00:00:00"/>
    <d v="2020-08-07T00:00:00"/>
    <d v="2021-03-29T00:00:00"/>
    <n v="78824.740000000005"/>
    <x v="3"/>
    <n v="8"/>
    <n v="1"/>
    <n v="2021"/>
    <x v="0"/>
  </r>
  <r>
    <s v="CLM-10329"/>
    <d v="2024-02-15T00:00:00"/>
    <d v="2024-05-12T00:00:00"/>
    <d v="2024-10-25T00:00:00"/>
    <n v="46093.69"/>
    <x v="4"/>
    <n v="8"/>
    <n v="1"/>
    <n v="2024"/>
    <x v="1"/>
  </r>
  <r>
    <s v="CLM-10409"/>
    <d v="2021-12-02T00:00:00"/>
    <d v="2022-02-15T00:00:00"/>
    <d v="2022-03-03T00:00:00"/>
    <n v="7250.33"/>
    <x v="1"/>
    <n v="3"/>
    <n v="1"/>
    <n v="2022"/>
    <x v="0"/>
  </r>
  <r>
    <s v="CLM-10024"/>
    <d v="2020-07-20T00:00:00"/>
    <d v="2020-10-03T00:00:00"/>
    <d v="2021-07-14T00:00:00"/>
    <n v="7906.67"/>
    <x v="3"/>
    <n v="12"/>
    <n v="1"/>
    <n v="2021"/>
    <x v="0"/>
  </r>
  <r>
    <s v="CLM-10517"/>
    <d v="2020-05-02T00:00:00"/>
    <d v="2020-06-19T00:00:00"/>
    <d v="2021-08-02T00:00:00"/>
    <n v="52158.25"/>
    <x v="3"/>
    <n v="15"/>
    <n v="2"/>
    <n v="2021"/>
    <x v="0"/>
  </r>
  <r>
    <s v="CLM-10491"/>
    <d v="2023-01-22T00:00:00"/>
    <d v="2023-03-22T00:00:00"/>
    <d v="2024-01-15T00:00:00"/>
    <n v="63379.05"/>
    <x v="0"/>
    <n v="12"/>
    <n v="1"/>
    <n v="2024"/>
    <x v="0"/>
  </r>
  <r>
    <s v="CLM-10218"/>
    <d v="2024-07-29T00:00:00"/>
    <d v="2024-09-23T00:00:00"/>
    <d v="2024-12-24T00:00:00"/>
    <n v="66113.34"/>
    <x v="4"/>
    <n v="5"/>
    <n v="1"/>
    <n v="2024"/>
    <x v="1"/>
  </r>
  <r>
    <s v="CLM-10680"/>
    <d v="2022-12-29T00:00:00"/>
    <d v="2023-01-30T00:00:00"/>
    <d v="2024-09-21T00:00:00"/>
    <n v="36964.559999999998"/>
    <x v="2"/>
    <n v="21"/>
    <n v="2"/>
    <n v="2024"/>
    <x v="2"/>
  </r>
  <r>
    <s v="CLM-10546"/>
    <d v="2020-09-10T00:00:00"/>
    <d v="2020-12-03T00:00:00"/>
    <d v="2021-04-21T00:00:00"/>
    <n v="4248.8"/>
    <x v="3"/>
    <n v="7"/>
    <n v="1"/>
    <n v="2021"/>
    <x v="0"/>
  </r>
  <r>
    <s v="CLM-10349"/>
    <d v="2022-02-13T00:00:00"/>
    <d v="2022-03-11T00:00:00"/>
    <d v="2023-02-09T00:00:00"/>
    <n v="3674.98"/>
    <x v="2"/>
    <n v="12"/>
    <n v="1"/>
    <n v="2023"/>
    <x v="0"/>
  </r>
  <r>
    <s v="CLM-10793"/>
    <d v="2024-04-10T00:00:00"/>
    <d v="2024-06-19T00:00:00"/>
    <d v="2024-12-18T00:00:00"/>
    <n v="62753.59"/>
    <x v="4"/>
    <n v="8"/>
    <n v="1"/>
    <n v="2024"/>
    <x v="1"/>
  </r>
  <r>
    <s v="CLM-10098"/>
    <d v="2023-05-17T00:00:00"/>
    <d v="2023-07-25T00:00:00"/>
    <d v="2024-01-30T00:00:00"/>
    <n v="81135.11"/>
    <x v="0"/>
    <n v="8"/>
    <n v="1"/>
    <n v="2024"/>
    <x v="0"/>
  </r>
  <r>
    <s v="CLM-10579"/>
    <d v="2020-07-05T00:00:00"/>
    <d v="2020-08-15T00:00:00"/>
    <d v="2021-06-29T00:00:00"/>
    <n v="76052.63"/>
    <x v="3"/>
    <n v="11"/>
    <n v="1"/>
    <n v="2021"/>
    <x v="0"/>
  </r>
  <r>
    <s v="CLM-10695"/>
    <d v="2023-05-05T00:00:00"/>
    <d v="2023-08-01T00:00:00"/>
    <d v="2024-08-04T00:00:00"/>
    <n v="-14063.7"/>
    <x v="0"/>
    <n v="15"/>
    <n v="2"/>
    <n v="2024"/>
    <x v="0"/>
  </r>
  <r>
    <s v="CLM-10041"/>
    <d v="2023-01-01T00:00:00"/>
    <d v="2023-02-09T00:00:00"/>
    <d v="2023-11-03T00:00:00"/>
    <n v="77986.63"/>
    <x v="0"/>
    <n v="10"/>
    <n v="1"/>
    <n v="2023"/>
    <x v="1"/>
  </r>
  <r>
    <s v="CLM-10230"/>
    <d v="2020-09-27T00:00:00"/>
    <d v="2020-11-09T00:00:00"/>
    <d v="2021-08-30T00:00:00"/>
    <n v="82106.31"/>
    <x v="3"/>
    <n v="11"/>
    <n v="1"/>
    <n v="2021"/>
    <x v="0"/>
  </r>
  <r>
    <s v="CLM-10046"/>
    <d v="2020-05-07T00:00:00"/>
    <d v="2020-07-18T00:00:00"/>
    <d v="2021-05-13T00:00:00"/>
    <n v="-8300.73"/>
    <x v="3"/>
    <n v="12"/>
    <n v="1"/>
    <n v="2021"/>
    <x v="0"/>
  </r>
  <r>
    <s v="CLM-10335"/>
    <d v="2021-01-30T00:00:00"/>
    <d v="2021-03-14T00:00:00"/>
    <d v="2022-10-02T00:00:00"/>
    <n v="13187.83"/>
    <x v="1"/>
    <n v="21"/>
    <n v="2"/>
    <n v="2022"/>
    <x v="0"/>
  </r>
  <r>
    <s v="CLM-10410"/>
    <d v="2023-09-28T00:00:00"/>
    <d v="2023-12-10T00:00:00"/>
    <d v="2024-09-03T00:00:00"/>
    <n v="39018.68"/>
    <x v="0"/>
    <n v="12"/>
    <n v="1"/>
    <n v="2024"/>
    <x v="0"/>
  </r>
  <r>
    <s v="CLM-10173"/>
    <d v="2021-10-05T00:00:00"/>
    <d v="2021-12-04T00:00:00"/>
    <d v="2022-04-07T00:00:00"/>
    <n v="42386.54"/>
    <x v="1"/>
    <n v="6"/>
    <n v="1"/>
    <n v="2022"/>
    <x v="0"/>
  </r>
  <r>
    <s v="CLM-10392"/>
    <d v="2022-01-10T00:00:00"/>
    <d v="2022-03-09T00:00:00"/>
    <d v="2022-10-30T00:00:00"/>
    <n v="18925.96"/>
    <x v="2"/>
    <n v="9"/>
    <n v="1"/>
    <n v="2022"/>
    <x v="1"/>
  </r>
  <r>
    <s v="CLM-10331"/>
    <d v="2020-01-09T00:00:00"/>
    <d v="2020-01-20T00:00:00"/>
    <d v="2021-11-06T00:00:00"/>
    <n v="65456.17"/>
    <x v="3"/>
    <n v="22"/>
    <n v="2"/>
    <n v="2021"/>
    <x v="0"/>
  </r>
  <r>
    <s v="CLM-10279"/>
    <d v="2023-10-19T00:00:00"/>
    <d v="2023-12-06T00:00:00"/>
    <d v="2024-07-21T00:00:00"/>
    <n v="38789.47"/>
    <x v="0"/>
    <n v="9"/>
    <n v="1"/>
    <n v="2024"/>
    <x v="0"/>
  </r>
  <r>
    <s v="CLM-10196"/>
    <d v="2022-01-05T00:00:00"/>
    <d v="2022-02-18T00:00:00"/>
    <d v="2022-03-10T00:00:00"/>
    <n v="-12607.94"/>
    <x v="2"/>
    <n v="2"/>
    <n v="1"/>
    <n v="2022"/>
    <x v="1"/>
  </r>
  <r>
    <s v="CLM-10539"/>
    <d v="2020-08-28T00:00:00"/>
    <d v="2020-11-18T00:00:00"/>
    <d v="2021-10-02T00:00:00"/>
    <n v="46496.62"/>
    <x v="3"/>
    <n v="14"/>
    <n v="2"/>
    <n v="2021"/>
    <x v="0"/>
  </r>
  <r>
    <s v="CLM-10099"/>
    <d v="2022-04-18T00:00:00"/>
    <d v="2022-07-05T00:00:00"/>
    <d v="2022-09-22T00:00:00"/>
    <n v="26426.95"/>
    <x v="2"/>
    <n v="5"/>
    <n v="1"/>
    <n v="2022"/>
    <x v="1"/>
  </r>
  <r>
    <s v="CLM-10517"/>
    <d v="2020-05-02T00:00:00"/>
    <d v="2020-06-19T00:00:00"/>
    <d v="2020-12-07T00:00:00"/>
    <n v="58677.49"/>
    <x v="3"/>
    <n v="7"/>
    <n v="1"/>
    <n v="2020"/>
    <x v="1"/>
  </r>
  <r>
    <s v="CLM-10221"/>
    <d v="2022-02-14T00:00:00"/>
    <d v="2022-04-25T00:00:00"/>
    <d v="2023-03-04T00:00:00"/>
    <n v="37724.93"/>
    <x v="2"/>
    <n v="13"/>
    <n v="2"/>
    <n v="2023"/>
    <x v="0"/>
  </r>
  <r>
    <s v="CLM-10285"/>
    <d v="2020-12-02T00:00:00"/>
    <d v="2021-02-21T00:00:00"/>
    <d v="2022-02-01T00:00:00"/>
    <n v="41450.449999999997"/>
    <x v="3"/>
    <n v="14"/>
    <n v="2"/>
    <n v="2022"/>
    <x v="2"/>
  </r>
  <r>
    <s v="CLM-10180"/>
    <d v="2022-02-23T00:00:00"/>
    <d v="2022-04-26T00:00:00"/>
    <d v="2023-09-17T00:00:00"/>
    <n v="33338.85"/>
    <x v="2"/>
    <n v="19"/>
    <n v="2"/>
    <n v="2023"/>
    <x v="0"/>
  </r>
  <r>
    <s v="CLM-10786"/>
    <d v="2023-02-07T00:00:00"/>
    <d v="2023-04-13T00:00:00"/>
    <d v="2023-10-21T00:00:00"/>
    <n v="4539.88"/>
    <x v="0"/>
    <n v="8"/>
    <n v="1"/>
    <n v="2023"/>
    <x v="1"/>
  </r>
  <r>
    <s v="CLM-10086"/>
    <d v="2023-08-01T00:00:00"/>
    <d v="2023-10-18T00:00:00"/>
    <d v="2024-04-27T00:00:00"/>
    <n v="31176.23"/>
    <x v="0"/>
    <n v="8"/>
    <n v="1"/>
    <n v="2024"/>
    <x v="0"/>
  </r>
  <r>
    <s v="CLM-10439"/>
    <d v="2020-03-02T00:00:00"/>
    <d v="2020-04-26T00:00:00"/>
    <d v="2020-07-09T00:00:00"/>
    <n v="70509.259999999995"/>
    <x v="3"/>
    <n v="4"/>
    <n v="1"/>
    <n v="2020"/>
    <x v="1"/>
  </r>
  <r>
    <s v="CLM-10491"/>
    <d v="2023-01-22T00:00:00"/>
    <d v="2023-03-22T00:00:00"/>
    <d v="2023-07-01T00:00:00"/>
    <n v="81424.179999999993"/>
    <x v="0"/>
    <n v="6"/>
    <n v="1"/>
    <n v="2023"/>
    <x v="1"/>
  </r>
  <r>
    <s v="CLM-10106"/>
    <d v="2021-12-04T00:00:00"/>
    <d v="2022-01-01T00:00:00"/>
    <d v="2022-10-29T00:00:00"/>
    <n v="48398.55"/>
    <x v="1"/>
    <n v="10"/>
    <n v="1"/>
    <n v="2022"/>
    <x v="0"/>
  </r>
  <r>
    <s v="CLM-10431"/>
    <d v="2024-09-08T00:00:00"/>
    <d v="2024-11-18T00:00:00"/>
    <d v="2025-03-16T00:00:00"/>
    <n v="44204.25"/>
    <x v="4"/>
    <n v="6"/>
    <n v="1"/>
    <n v="2025"/>
    <x v="0"/>
  </r>
  <r>
    <s v="CLM-10679"/>
    <d v="2020-09-05T00:00:00"/>
    <d v="2020-09-24T00:00:00"/>
    <d v="2020-12-23T00:00:00"/>
    <n v="38910.68"/>
    <x v="3"/>
    <n v="3"/>
    <n v="1"/>
    <n v="2020"/>
    <x v="1"/>
  </r>
  <r>
    <s v="CLM-10482"/>
    <d v="2024-02-01T00:00:00"/>
    <d v="2024-02-23T00:00:00"/>
    <d v="2024-07-12T00:00:00"/>
    <n v="17367.43"/>
    <x v="4"/>
    <n v="5"/>
    <n v="1"/>
    <n v="2024"/>
    <x v="1"/>
  </r>
  <r>
    <s v="CLM-10668"/>
    <d v="2020-02-09T00:00:00"/>
    <d v="2020-02-23T00:00:00"/>
    <d v="2020-06-06T00:00:00"/>
    <n v="3686.42"/>
    <x v="3"/>
    <n v="4"/>
    <n v="1"/>
    <n v="2020"/>
    <x v="1"/>
  </r>
  <r>
    <s v="CLM-10460"/>
    <d v="2024-08-22T00:00:00"/>
    <d v="2024-11-01T00:00:00"/>
    <d v="2025-05-16T00:00:00"/>
    <n v="-2380.09"/>
    <x v="4"/>
    <n v="9"/>
    <n v="1"/>
    <n v="2025"/>
    <x v="0"/>
  </r>
  <r>
    <s v="CLM-10260"/>
    <d v="2021-03-10T00:00:00"/>
    <d v="2021-05-26T00:00:00"/>
    <d v="2021-06-22T00:00:00"/>
    <n v="36953.43"/>
    <x v="1"/>
    <n v="3"/>
    <n v="1"/>
    <n v="2021"/>
    <x v="1"/>
  </r>
  <r>
    <s v="CLM-10391"/>
    <d v="2024-09-06T00:00:00"/>
    <d v="2024-09-10T00:00:00"/>
    <d v="2024-10-28T00:00:00"/>
    <n v="-16753.060000000001"/>
    <x v="4"/>
    <n v="1"/>
    <n v="1"/>
    <n v="2024"/>
    <x v="1"/>
  </r>
  <r>
    <s v="CLM-10535"/>
    <d v="2024-04-14T00:00:00"/>
    <d v="2024-06-12T00:00:00"/>
    <d v="2025-01-25T00:00:00"/>
    <n v="7472.88"/>
    <x v="4"/>
    <n v="9"/>
    <n v="1"/>
    <n v="2025"/>
    <x v="0"/>
  </r>
  <r>
    <s v="CLM-10013"/>
    <d v="2022-08-29T00:00:00"/>
    <d v="2022-11-06T00:00:00"/>
    <d v="2023-05-13T00:00:00"/>
    <n v="23660.080000000002"/>
    <x v="2"/>
    <n v="9"/>
    <n v="1"/>
    <n v="2023"/>
    <x v="0"/>
  </r>
  <r>
    <s v="CLM-10176"/>
    <d v="2023-10-06T00:00:00"/>
    <d v="2023-11-14T00:00:00"/>
    <d v="2023-12-15T00:00:00"/>
    <n v="13314.9"/>
    <x v="0"/>
    <n v="2"/>
    <n v="1"/>
    <n v="2023"/>
    <x v="1"/>
  </r>
  <r>
    <s v="CLM-10401"/>
    <d v="2022-06-07T00:00:00"/>
    <d v="2022-08-10T00:00:00"/>
    <d v="2023-08-31T00:00:00"/>
    <n v="72139.740000000005"/>
    <x v="2"/>
    <n v="14"/>
    <n v="2"/>
    <n v="2023"/>
    <x v="0"/>
  </r>
  <r>
    <s v="CLM-10252"/>
    <d v="2022-08-02T00:00:00"/>
    <d v="2022-10-01T00:00:00"/>
    <d v="2024-06-23T00:00:00"/>
    <n v="8476.14"/>
    <x v="2"/>
    <n v="22"/>
    <n v="2"/>
    <n v="2024"/>
    <x v="2"/>
  </r>
  <r>
    <s v="CLM-10335"/>
    <d v="2021-01-30T00:00:00"/>
    <d v="2021-03-14T00:00:00"/>
    <d v="2021-09-19T00:00:00"/>
    <n v="42298.65"/>
    <x v="1"/>
    <n v="8"/>
    <n v="1"/>
    <n v="2021"/>
    <x v="1"/>
  </r>
  <r>
    <s v="CLM-10125"/>
    <d v="2021-02-23T00:00:00"/>
    <d v="2021-02-24T00:00:00"/>
    <d v="2021-09-09T00:00:00"/>
    <n v="48746"/>
    <x v="1"/>
    <n v="7"/>
    <n v="1"/>
    <n v="2021"/>
    <x v="1"/>
  </r>
  <r>
    <s v="CLM-10560"/>
    <d v="2022-09-25T00:00:00"/>
    <d v="2022-10-20T00:00:00"/>
    <d v="2024-02-29T00:00:00"/>
    <n v="60188.42"/>
    <x v="2"/>
    <n v="17"/>
    <n v="2"/>
    <n v="2024"/>
    <x v="2"/>
  </r>
  <r>
    <s v="CLM-10428"/>
    <d v="2020-07-25T00:00:00"/>
    <d v="2020-08-15T00:00:00"/>
    <d v="2021-02-02T00:00:00"/>
    <n v="12551.65"/>
    <x v="3"/>
    <n v="7"/>
    <n v="1"/>
    <n v="2021"/>
    <x v="0"/>
  </r>
  <r>
    <s v="CLM-10654"/>
    <d v="2021-12-04T00:00:00"/>
    <d v="2022-01-31T00:00:00"/>
    <d v="2023-12-11T00:00:00"/>
    <n v="51305.77"/>
    <x v="1"/>
    <n v="24"/>
    <n v="2"/>
    <n v="2023"/>
    <x v="2"/>
  </r>
  <r>
    <s v="CLM-10343"/>
    <d v="2022-03-08T00:00:00"/>
    <d v="2022-05-10T00:00:00"/>
    <d v="2024-02-07T00:00:00"/>
    <n v="40875.64"/>
    <x v="2"/>
    <n v="23"/>
    <n v="2"/>
    <n v="2024"/>
    <x v="2"/>
  </r>
  <r>
    <s v="CLM-10654"/>
    <d v="2021-12-04T00:00:00"/>
    <d v="2022-01-31T00:00:00"/>
    <d v="2022-08-01T00:00:00"/>
    <n v="65723.22"/>
    <x v="1"/>
    <n v="8"/>
    <n v="1"/>
    <n v="2022"/>
    <x v="0"/>
  </r>
  <r>
    <s v="CLM-10159"/>
    <d v="2023-04-05T00:00:00"/>
    <d v="2023-04-25T00:00:00"/>
    <d v="2023-07-25T00:00:00"/>
    <n v="40506.480000000003"/>
    <x v="0"/>
    <n v="3"/>
    <n v="1"/>
    <n v="2023"/>
    <x v="1"/>
  </r>
  <r>
    <s v="CLM-10784"/>
    <d v="2022-11-25T00:00:00"/>
    <d v="2022-12-09T00:00:00"/>
    <d v="2024-03-31T00:00:00"/>
    <n v="4719.78"/>
    <x v="2"/>
    <n v="16"/>
    <n v="2"/>
    <n v="2024"/>
    <x v="2"/>
  </r>
  <r>
    <s v="CLM-10699"/>
    <d v="2024-06-30T00:00:00"/>
    <d v="2024-07-08T00:00:00"/>
    <d v="2024-11-30T00:00:00"/>
    <n v="83508.95"/>
    <x v="4"/>
    <n v="5"/>
    <n v="1"/>
    <n v="2024"/>
    <x v="1"/>
  </r>
  <r>
    <s v="CLM-10239"/>
    <d v="2023-09-22T00:00:00"/>
    <d v="2023-11-08T00:00:00"/>
    <d v="2025-03-17T00:00:00"/>
    <n v="68189.61"/>
    <x v="0"/>
    <n v="18"/>
    <n v="2"/>
    <n v="2025"/>
    <x v="2"/>
  </r>
  <r>
    <s v="CLM-10401"/>
    <d v="2022-06-07T00:00:00"/>
    <d v="2022-08-10T00:00:00"/>
    <d v="2023-02-13T00:00:00"/>
    <n v="48076.82"/>
    <x v="2"/>
    <n v="8"/>
    <n v="1"/>
    <n v="2023"/>
    <x v="0"/>
  </r>
  <r>
    <s v="CLM-10346"/>
    <d v="2022-10-15T00:00:00"/>
    <m/>
    <d v="2024-05-30T00:00:00"/>
    <n v="75456.33"/>
    <x v="2"/>
    <n v="19"/>
    <n v="2"/>
    <n v="2024"/>
    <x v="2"/>
  </r>
  <r>
    <s v="CLM-10778"/>
    <d v="2020-09-16T00:00:00"/>
    <d v="2020-09-22T00:00:00"/>
    <d v="2020-11-28T00:00:00"/>
    <n v="52544.45"/>
    <x v="3"/>
    <n v="2"/>
    <n v="1"/>
    <n v="2020"/>
    <x v="1"/>
  </r>
  <r>
    <s v="CLM-10754"/>
    <d v="2023-12-13T00:00:00"/>
    <m/>
    <d v="2024-09-19T00:00:00"/>
    <n v="-8428.9"/>
    <x v="0"/>
    <n v="9"/>
    <n v="1"/>
    <n v="2024"/>
    <x v="0"/>
  </r>
  <r>
    <s v="CLM-10296"/>
    <d v="2021-12-26T00:00:00"/>
    <d v="2022-02-17T00:00:00"/>
    <d v="2023-06-08T00:00:00"/>
    <n v="72448.02"/>
    <x v="1"/>
    <n v="18"/>
    <n v="2"/>
    <n v="2023"/>
    <x v="2"/>
  </r>
  <r>
    <s v="CLM-10130"/>
    <d v="2020-12-06T00:00:00"/>
    <d v="2021-02-18T00:00:00"/>
    <d v="2021-06-21T00:00:00"/>
    <n v="58506.6"/>
    <x v="3"/>
    <n v="6"/>
    <n v="1"/>
    <n v="2021"/>
    <x v="0"/>
  </r>
  <r>
    <s v="CLM-10798"/>
    <d v="2024-02-19T00:00:00"/>
    <d v="2024-03-17T00:00:00"/>
    <d v="2024-09-11T00:00:00"/>
    <n v="24488.82"/>
    <x v="4"/>
    <n v="7"/>
    <n v="1"/>
    <n v="2024"/>
    <x v="1"/>
  </r>
  <r>
    <s v="CLM-10086"/>
    <d v="2023-08-01T00:00:00"/>
    <d v="2023-10-18T00:00:00"/>
    <d v="2025-02-07T00:00:00"/>
    <n v="14405.77"/>
    <x v="0"/>
    <n v="18"/>
    <n v="2"/>
    <n v="2025"/>
    <x v="2"/>
  </r>
  <r>
    <s v="CLM-10673"/>
    <d v="2021-02-09T00:00:00"/>
    <d v="2021-04-06T00:00:00"/>
    <d v="2021-07-20T00:00:00"/>
    <n v="39945.949999999997"/>
    <x v="1"/>
    <n v="5"/>
    <n v="1"/>
    <n v="2021"/>
    <x v="1"/>
  </r>
  <r>
    <s v="CLM-10256"/>
    <d v="2024-04-04T00:00:00"/>
    <d v="2024-07-02T00:00:00"/>
    <d v="2024-11-20T00:00:00"/>
    <n v="53365.3"/>
    <x v="4"/>
    <n v="7"/>
    <n v="1"/>
    <n v="2024"/>
    <x v="1"/>
  </r>
  <r>
    <s v="CLM-10097"/>
    <d v="2021-04-13T00:00:00"/>
    <d v="2021-06-26T00:00:00"/>
    <d v="2022-09-06T00:00:00"/>
    <n v="14547.63"/>
    <x v="1"/>
    <n v="17"/>
    <n v="2"/>
    <n v="2022"/>
    <x v="0"/>
  </r>
  <r>
    <s v="CLM-10145"/>
    <d v="2020-01-21T00:00:00"/>
    <d v="2020-03-11T00:00:00"/>
    <d v="2021-01-24T00:00:00"/>
    <n v="49678.97"/>
    <x v="3"/>
    <n v="12"/>
    <n v="1"/>
    <n v="2021"/>
    <x v="0"/>
  </r>
  <r>
    <s v="CLM-10534"/>
    <d v="2021-04-08T00:00:00"/>
    <d v="2021-04-10T00:00:00"/>
    <d v="2021-12-26T00:00:00"/>
    <n v="7461.32"/>
    <x v="1"/>
    <n v="8"/>
    <n v="1"/>
    <n v="2021"/>
    <x v="1"/>
  </r>
  <r>
    <s v="CLM-10105"/>
    <d v="2024-03-28T00:00:00"/>
    <d v="2024-05-31T00:00:00"/>
    <d v="2024-11-01T00:00:00"/>
    <n v="-22265.14"/>
    <x v="4"/>
    <n v="8"/>
    <n v="1"/>
    <n v="2024"/>
    <x v="1"/>
  </r>
  <r>
    <s v="CLM-10025"/>
    <d v="2023-04-02T00:00:00"/>
    <d v="2023-06-03T00:00:00"/>
    <d v="2024-08-22T00:00:00"/>
    <n v="73288.41"/>
    <x v="0"/>
    <n v="16"/>
    <n v="2"/>
    <n v="2024"/>
    <x v="0"/>
  </r>
  <r>
    <s v="CLM-10389"/>
    <d v="2023-04-04T00:00:00"/>
    <d v="2023-06-27T00:00:00"/>
    <d v="2023-07-22T00:00:00"/>
    <n v="26129.45"/>
    <x v="0"/>
    <n v="3"/>
    <n v="1"/>
    <n v="2023"/>
    <x v="1"/>
  </r>
  <r>
    <s v="CLM-10364"/>
    <d v="2024-06-19T00:00:00"/>
    <d v="2024-07-06T00:00:00"/>
    <d v="2025-04-01T00:00:00"/>
    <n v="51649.84"/>
    <x v="4"/>
    <n v="10"/>
    <n v="1"/>
    <n v="2025"/>
    <x v="0"/>
  </r>
  <r>
    <s v="CLM-10438"/>
    <d v="2021-10-20T00:00:00"/>
    <d v="2021-11-28T00:00:00"/>
    <d v="2022-02-26T00:00:00"/>
    <n v="59452.56"/>
    <x v="1"/>
    <n v="4"/>
    <n v="1"/>
    <n v="2022"/>
    <x v="0"/>
  </r>
  <r>
    <s v="CLM-10006"/>
    <d v="2024-06-27T00:00:00"/>
    <d v="2024-08-13T00:00:00"/>
    <d v="2025-03-27T00:00:00"/>
    <n v="52826.69"/>
    <x v="4"/>
    <n v="9"/>
    <n v="1"/>
    <n v="2025"/>
    <x v="0"/>
  </r>
  <r>
    <s v="CLM-10680"/>
    <d v="2022-12-29T00:00:00"/>
    <d v="2023-01-30T00:00:00"/>
    <d v="2024-03-25T00:00:00"/>
    <n v="78251.570000000007"/>
    <x v="2"/>
    <n v="15"/>
    <n v="2"/>
    <n v="2024"/>
    <x v="2"/>
  </r>
  <r>
    <s v="CLM-10138"/>
    <d v="2023-02-27T00:00:00"/>
    <d v="2023-05-07T00:00:00"/>
    <d v="2024-02-22T00:00:00"/>
    <n v="11885.86"/>
    <x v="0"/>
    <n v="12"/>
    <n v="1"/>
    <n v="2024"/>
    <x v="0"/>
  </r>
  <r>
    <s v="CLM-10253"/>
    <d v="2021-09-30T00:00:00"/>
    <d v="2021-11-04T00:00:00"/>
    <d v="2022-07-16T00:00:00"/>
    <n v="23779.32"/>
    <x v="1"/>
    <n v="10"/>
    <n v="1"/>
    <n v="2022"/>
    <x v="0"/>
  </r>
  <r>
    <s v="CLM-10650"/>
    <d v="2021-06-25T00:00:00"/>
    <d v="2021-07-31T00:00:00"/>
    <d v="2021-11-21T00:00:00"/>
    <n v="77145.88"/>
    <x v="1"/>
    <n v="5"/>
    <n v="1"/>
    <n v="2021"/>
    <x v="1"/>
  </r>
  <r>
    <s v="CLM-10338"/>
    <d v="2021-07-24T00:00:00"/>
    <d v="2021-08-15T00:00:00"/>
    <d v="2022-11-13T00:00:00"/>
    <n v="49919.85"/>
    <x v="1"/>
    <n v="16"/>
    <n v="2"/>
    <n v="2022"/>
    <x v="0"/>
  </r>
  <r>
    <s v="CLM-10710"/>
    <d v="2021-03-15T00:00:00"/>
    <d v="2021-05-31T00:00:00"/>
    <d v="2021-12-25T00:00:00"/>
    <n v="22947.919999999998"/>
    <x v="1"/>
    <n v="9"/>
    <n v="1"/>
    <n v="2021"/>
    <x v="1"/>
  </r>
  <r>
    <s v="CLM-10422"/>
    <d v="2023-11-02T00:00:00"/>
    <d v="2023-12-15T00:00:00"/>
    <d v="2023-09-16T00:00:00"/>
    <n v="57048.85"/>
    <x v="0"/>
    <n v="-2"/>
    <n v="0"/>
    <n v="2023"/>
    <x v="1"/>
  </r>
  <r>
    <s v="CLM-10451"/>
    <d v="2022-11-29T00:00:00"/>
    <d v="2023-01-10T00:00:00"/>
    <d v="2023-10-04T00:00:00"/>
    <n v="9306.64"/>
    <x v="2"/>
    <n v="11"/>
    <n v="1"/>
    <n v="2023"/>
    <x v="0"/>
  </r>
  <r>
    <s v="CLM-10381"/>
    <d v="2023-11-09T00:00:00"/>
    <d v="2023-11-27T00:00:00"/>
    <d v="2023-10-14T00:00:00"/>
    <n v="60403.15"/>
    <x v="0"/>
    <n v="-1"/>
    <n v="0"/>
    <n v="2023"/>
    <x v="1"/>
  </r>
  <r>
    <s v="CLM-10268"/>
    <d v="2023-11-02T00:00:00"/>
    <d v="2023-12-19T00:00:00"/>
    <d v="2024-04-25T00:00:00"/>
    <n v="-13863.76"/>
    <x v="0"/>
    <n v="5"/>
    <n v="1"/>
    <n v="2024"/>
    <x v="0"/>
  </r>
  <r>
    <s v="CLM-10664"/>
    <d v="2022-09-26T00:00:00"/>
    <d v="2022-10-13T00:00:00"/>
    <d v="2023-05-13T00:00:00"/>
    <n v="-427535.57"/>
    <x v="2"/>
    <n v="8"/>
    <n v="1"/>
    <n v="2023"/>
    <x v="0"/>
  </r>
  <r>
    <s v="CLM-10629"/>
    <d v="2021-09-22T00:00:00"/>
    <d v="2021-09-24T00:00:00"/>
    <d v="2022-06-15T00:00:00"/>
    <n v="43659.8"/>
    <x v="1"/>
    <n v="9"/>
    <n v="1"/>
    <n v="2022"/>
    <x v="0"/>
  </r>
  <r>
    <s v="CLM-10401"/>
    <d v="2022-06-07T00:00:00"/>
    <d v="2022-08-10T00:00:00"/>
    <d v="2023-03-02T00:00:00"/>
    <n v="41077.07"/>
    <x v="2"/>
    <n v="9"/>
    <n v="1"/>
    <n v="2023"/>
    <x v="0"/>
  </r>
  <r>
    <s v="CLM-10252"/>
    <d v="2022-08-02T00:00:00"/>
    <d v="2022-10-01T00:00:00"/>
    <d v="2023-03-18T00:00:00"/>
    <n v="3441.76"/>
    <x v="2"/>
    <n v="7"/>
    <n v="1"/>
    <n v="2023"/>
    <x v="0"/>
  </r>
  <r>
    <s v="CLM-10351"/>
    <d v="2020-01-23T00:00:00"/>
    <d v="2020-01-25T00:00:00"/>
    <d v="2020-04-09T00:00:00"/>
    <n v="77285.850000000006"/>
    <x v="3"/>
    <n v="3"/>
    <n v="1"/>
    <n v="2020"/>
    <x v="1"/>
  </r>
  <r>
    <s v="CLM-10282"/>
    <d v="2022-10-12T00:00:00"/>
    <d v="2022-11-30T00:00:00"/>
    <d v="2023-07-03T00:00:00"/>
    <n v="32954.57"/>
    <x v="2"/>
    <n v="9"/>
    <n v="1"/>
    <n v="2023"/>
    <x v="0"/>
  </r>
  <r>
    <s v="CLM-10384"/>
    <d v="2022-07-02T00:00:00"/>
    <d v="2022-08-08T00:00:00"/>
    <d v="2023-07-16T00:00:00"/>
    <n v="33146.050000000003"/>
    <x v="2"/>
    <n v="12"/>
    <n v="1"/>
    <n v="2023"/>
    <x v="0"/>
  </r>
  <r>
    <s v="CLM-10012"/>
    <d v="2020-04-11T00:00:00"/>
    <d v="2020-05-02T00:00:00"/>
    <d v="2020-06-18T00:00:00"/>
    <n v="14441.91"/>
    <x v="3"/>
    <n v="2"/>
    <n v="1"/>
    <n v="2020"/>
    <x v="1"/>
  </r>
  <r>
    <s v="CLM-10570"/>
    <d v="2021-09-30T00:00:00"/>
    <d v="2021-12-06T00:00:00"/>
    <d v="2022-06-30T00:00:00"/>
    <n v="25449.05"/>
    <x v="1"/>
    <n v="9"/>
    <n v="1"/>
    <n v="2022"/>
    <x v="0"/>
  </r>
  <r>
    <s v="CLM-10316"/>
    <d v="2020-03-24T00:00:00"/>
    <d v="2020-04-19T00:00:00"/>
    <d v="2020-05-26T00:00:00"/>
    <n v="-16541.669999999998"/>
    <x v="3"/>
    <n v="2"/>
    <n v="1"/>
    <n v="2020"/>
    <x v="1"/>
  </r>
  <r>
    <s v="CLM-10021"/>
    <d v="2021-03-18T00:00:00"/>
    <d v="2021-05-16T00:00:00"/>
    <d v="2021-11-19T00:00:00"/>
    <n v="13770.78"/>
    <x v="1"/>
    <n v="8"/>
    <n v="1"/>
    <n v="2021"/>
    <x v="1"/>
  </r>
  <r>
    <s v="CLM-10658"/>
    <d v="2022-08-26T00:00:00"/>
    <d v="2022-10-20T00:00:00"/>
    <d v="2023-03-09T00:00:00"/>
    <n v="57436.29"/>
    <x v="2"/>
    <n v="7"/>
    <n v="1"/>
    <n v="2023"/>
    <x v="0"/>
  </r>
  <r>
    <s v="CLM-10398"/>
    <d v="2022-12-11T00:00:00"/>
    <d v="2023-02-27T00:00:00"/>
    <d v="2023-07-15T00:00:00"/>
    <n v="7417.03"/>
    <x v="2"/>
    <n v="7"/>
    <n v="1"/>
    <n v="2023"/>
    <x v="0"/>
  </r>
  <r>
    <s v="CLM-10076"/>
    <d v="2023-01-08T00:00:00"/>
    <d v="2023-03-22T00:00:00"/>
    <d v="2023-05-09T00:00:00"/>
    <n v="52503.839999999997"/>
    <x v="0"/>
    <n v="4"/>
    <n v="1"/>
    <n v="2023"/>
    <x v="1"/>
  </r>
  <r>
    <s v="CLM-10276"/>
    <d v="2022-06-03T00:00:00"/>
    <d v="2022-08-28T00:00:00"/>
    <d v="2023-09-22T00:00:00"/>
    <n v="42497.83"/>
    <x v="2"/>
    <n v="15"/>
    <n v="2"/>
    <n v="2023"/>
    <x v="0"/>
  </r>
  <r>
    <s v="CLM-10244"/>
    <d v="2022-04-04T00:00:00"/>
    <d v="2022-06-13T00:00:00"/>
    <d v="2023-03-15T00:00:00"/>
    <n v="-4151.57"/>
    <x v="2"/>
    <n v="11"/>
    <n v="1"/>
    <n v="2023"/>
    <x v="0"/>
  </r>
  <r>
    <s v="CLM-10051"/>
    <d v="2021-10-02T00:00:00"/>
    <d v="2021-12-29T00:00:00"/>
    <d v="2022-04-12T00:00:00"/>
    <n v="33395.589999999997"/>
    <x v="1"/>
    <n v="6"/>
    <n v="1"/>
    <n v="2022"/>
    <x v="0"/>
  </r>
  <r>
    <s v="CLM-10669"/>
    <d v="2021-12-27T00:00:00"/>
    <d v="2022-01-28T00:00:00"/>
    <d v="2022-05-25T00:00:00"/>
    <n v="64739.39"/>
    <x v="1"/>
    <n v="5"/>
    <n v="1"/>
    <n v="2022"/>
    <x v="0"/>
  </r>
  <r>
    <s v="CLM-10305"/>
    <d v="2023-10-04T00:00:00"/>
    <d v="2023-11-16T00:00:00"/>
    <d v="2024-07-11T00:00:00"/>
    <n v="38869.18"/>
    <x v="0"/>
    <n v="9"/>
    <n v="1"/>
    <n v="2024"/>
    <x v="0"/>
  </r>
  <r>
    <s v="CLM-10569"/>
    <d v="2021-02-06T00:00:00"/>
    <d v="2021-03-08T00:00:00"/>
    <d v="2021-07-19T00:00:00"/>
    <n v="7719.37"/>
    <x v="1"/>
    <n v="5"/>
    <n v="1"/>
    <n v="2021"/>
    <x v="1"/>
  </r>
  <r>
    <s v="CLM-10459"/>
    <d v="2020-01-06T00:00:00"/>
    <d v="2020-03-05T00:00:00"/>
    <d v="2021-06-01T00:00:00"/>
    <n v="16730.12"/>
    <x v="3"/>
    <n v="17"/>
    <n v="2"/>
    <n v="2021"/>
    <x v="0"/>
  </r>
  <r>
    <s v="CLM-10143"/>
    <d v="2023-08-12T00:00:00"/>
    <d v="2023-09-15T00:00:00"/>
    <d v="2024-09-04T00:00:00"/>
    <n v="23125.23"/>
    <x v="0"/>
    <n v="13"/>
    <n v="2"/>
    <n v="2024"/>
    <x v="0"/>
  </r>
  <r>
    <s v="CLM-10296"/>
    <d v="2021-12-26T00:00:00"/>
    <d v="2022-02-17T00:00:00"/>
    <d v="2023-10-03T00:00:00"/>
    <n v="-7192.33"/>
    <x v="1"/>
    <n v="22"/>
    <n v="2"/>
    <n v="2023"/>
    <x v="2"/>
  </r>
  <r>
    <s v="CLM-10717"/>
    <d v="2021-07-25T00:00:00"/>
    <d v="2021-10-05T00:00:00"/>
    <d v="2021-11-23T00:00:00"/>
    <n v="12002.39"/>
    <x v="1"/>
    <n v="4"/>
    <n v="1"/>
    <n v="2021"/>
    <x v="1"/>
  </r>
  <r>
    <s v="CLM-10270"/>
    <d v="2023-06-06T00:00:00"/>
    <d v="2023-08-19T00:00:00"/>
    <d v="2023-09-15T00:00:00"/>
    <n v="33853.68"/>
    <x v="0"/>
    <n v="3"/>
    <n v="1"/>
    <n v="2023"/>
    <x v="1"/>
  </r>
  <r>
    <s v="CLM-10072"/>
    <d v="2021-07-24T00:00:00"/>
    <d v="2021-09-24T00:00:00"/>
    <d v="2022-12-20T00:00:00"/>
    <n v="9028.81"/>
    <x v="1"/>
    <n v="17"/>
    <n v="2"/>
    <n v="2022"/>
    <x v="0"/>
  </r>
  <r>
    <s v="CLM-10123"/>
    <d v="2022-08-08T00:00:00"/>
    <d v="2022-10-14T00:00:00"/>
    <d v="2023-11-14T00:00:00"/>
    <n v="69031.66"/>
    <x v="2"/>
    <n v="15"/>
    <n v="2"/>
    <n v="2023"/>
    <x v="0"/>
  </r>
  <r>
    <s v="CLM-10751"/>
    <d v="2024-03-24T00:00:00"/>
    <d v="2024-05-25T00:00:00"/>
    <d v="2025-02-21T00:00:00"/>
    <n v="76130.37"/>
    <x v="4"/>
    <n v="11"/>
    <n v="1"/>
    <n v="2025"/>
    <x v="0"/>
  </r>
  <r>
    <s v="CLM-10188"/>
    <d v="2020-04-03T00:00:00"/>
    <d v="2020-05-28T00:00:00"/>
    <d v="2020-12-06T00:00:00"/>
    <n v="67518.759999999995"/>
    <x v="3"/>
    <n v="8"/>
    <n v="1"/>
    <n v="2020"/>
    <x v="1"/>
  </r>
  <r>
    <s v="CLM-10641"/>
    <d v="2020-01-14T00:00:00"/>
    <d v="2020-04-05T00:00:00"/>
    <d v="2020-07-24T00:00:00"/>
    <n v="37276.629999999997"/>
    <x v="3"/>
    <n v="6"/>
    <n v="1"/>
    <n v="2020"/>
    <x v="1"/>
  </r>
  <r>
    <s v="CLM-10394"/>
    <d v="2024-09-23T00:00:00"/>
    <d v="2024-11-29T00:00:00"/>
    <d v="2025-05-12T00:00:00"/>
    <n v="45946.57"/>
    <x v="4"/>
    <n v="8"/>
    <n v="1"/>
    <n v="2025"/>
    <x v="0"/>
  </r>
  <r>
    <s v="CLM-10366"/>
    <d v="2023-03-21T00:00:00"/>
    <d v="2023-03-23T00:00:00"/>
    <d v="2024-03-01T00:00:00"/>
    <n v="-1423.77"/>
    <x v="0"/>
    <n v="12"/>
    <n v="1"/>
    <n v="2024"/>
    <x v="0"/>
  </r>
  <r>
    <s v="CLM-10791"/>
    <d v="2022-01-19T00:00:00"/>
    <d v="2022-01-23T00:00:00"/>
    <d v="2022-05-25T00:00:00"/>
    <n v="58104.09"/>
    <x v="2"/>
    <n v="4"/>
    <n v="1"/>
    <n v="2022"/>
    <x v="1"/>
  </r>
  <r>
    <s v="CLM-10078"/>
    <d v="2023-04-06T00:00:00"/>
    <d v="2023-05-26T00:00:00"/>
    <d v="2024-07-16T00:00:00"/>
    <n v="79814.759999999995"/>
    <x v="0"/>
    <n v="15"/>
    <n v="2"/>
    <n v="2024"/>
    <x v="0"/>
  </r>
  <r>
    <s v="CLM-10608"/>
    <d v="2020-06-26T00:00:00"/>
    <d v="2020-08-20T00:00:00"/>
    <d v="2021-02-01T00:00:00"/>
    <n v="-6470.71"/>
    <x v="3"/>
    <n v="8"/>
    <n v="1"/>
    <n v="2021"/>
    <x v="0"/>
  </r>
  <r>
    <s v="CLM-10257"/>
    <d v="2023-04-29T00:00:00"/>
    <d v="2023-07-26T00:00:00"/>
    <d v="2023-12-10T00:00:00"/>
    <n v="6694.96"/>
    <x v="0"/>
    <n v="8"/>
    <n v="1"/>
    <n v="2023"/>
    <x v="1"/>
  </r>
  <r>
    <s v="CLM-10779"/>
    <d v="2023-07-09T00:00:00"/>
    <d v="2023-09-12T00:00:00"/>
    <d v="2024-10-06T00:00:00"/>
    <n v="32078"/>
    <x v="0"/>
    <n v="15"/>
    <n v="2"/>
    <n v="2024"/>
    <x v="0"/>
  </r>
  <r>
    <s v="CLM-10538"/>
    <d v="2021-12-30T00:00:00"/>
    <d v="2022-03-26T00:00:00"/>
    <d v="2022-11-14T00:00:00"/>
    <n v="82610.78"/>
    <x v="1"/>
    <n v="11"/>
    <n v="1"/>
    <n v="2022"/>
    <x v="0"/>
  </r>
  <r>
    <s v="CLM-10164"/>
    <d v="2023-05-27T00:00:00"/>
    <d v="2023-06-08T00:00:00"/>
    <d v="2024-10-24T00:00:00"/>
    <n v="-16447.46"/>
    <x v="0"/>
    <n v="17"/>
    <n v="2"/>
    <n v="2024"/>
    <x v="0"/>
  </r>
  <r>
    <s v="CLM-10665"/>
    <d v="2020-10-22T00:00:00"/>
    <d v="2020-12-05T00:00:00"/>
    <d v="2021-09-14T00:00:00"/>
    <n v="25986.39"/>
    <x v="3"/>
    <n v="11"/>
    <n v="1"/>
    <n v="2021"/>
    <x v="0"/>
  </r>
  <r>
    <s v="CLM-10715"/>
    <d v="2022-01-13T00:00:00"/>
    <m/>
    <d v="2022-07-28T00:00:00"/>
    <n v="68267.61"/>
    <x v="2"/>
    <n v="6"/>
    <n v="1"/>
    <n v="2022"/>
    <x v="1"/>
  </r>
  <r>
    <s v="CLM-10312"/>
    <d v="2021-07-01T00:00:00"/>
    <d v="2021-08-18T00:00:00"/>
    <d v="2023-04-05T00:00:00"/>
    <n v="70667.100000000006"/>
    <x v="1"/>
    <n v="21"/>
    <n v="2"/>
    <n v="2023"/>
    <x v="2"/>
  </r>
  <r>
    <s v="CLM-10632"/>
    <d v="2020-11-27T00:00:00"/>
    <d v="2021-02-19T00:00:00"/>
    <d v="2022-01-06T00:00:00"/>
    <n v="-2097.14"/>
    <x v="3"/>
    <n v="14"/>
    <n v="2"/>
    <n v="2022"/>
    <x v="2"/>
  </r>
  <r>
    <s v="CLM-10461"/>
    <d v="2023-06-03T00:00:00"/>
    <d v="2023-06-28T00:00:00"/>
    <d v="2023-08-27T00:00:00"/>
    <n v="8371.0499999999993"/>
    <x v="0"/>
    <n v="2"/>
    <n v="1"/>
    <n v="2023"/>
    <x v="1"/>
  </r>
  <r>
    <s v="CLM-10535"/>
    <d v="2024-04-14T00:00:00"/>
    <d v="2024-06-12T00:00:00"/>
    <d v="2025-05-31T00:00:00"/>
    <n v="3095.71"/>
    <x v="4"/>
    <n v="13"/>
    <n v="2"/>
    <n v="2025"/>
    <x v="0"/>
  </r>
  <r>
    <s v="CLM-10704"/>
    <d v="2022-10-31T00:00:00"/>
    <d v="2022-12-12T00:00:00"/>
    <d v="2023-06-25T00:00:00"/>
    <n v="53129.94"/>
    <x v="2"/>
    <n v="8"/>
    <n v="1"/>
    <n v="2023"/>
    <x v="0"/>
  </r>
  <r>
    <s v="CLM-10697"/>
    <d v="2023-11-11T00:00:00"/>
    <d v="2024-01-28T00:00:00"/>
    <d v="2024-04-26T00:00:00"/>
    <n v="27554.85"/>
    <x v="0"/>
    <n v="5"/>
    <n v="1"/>
    <n v="2024"/>
    <x v="0"/>
  </r>
  <r>
    <s v="CLM-10021"/>
    <d v="2021-03-18T00:00:00"/>
    <d v="2021-05-16T00:00:00"/>
    <d v="2022-11-17T00:00:00"/>
    <n v="61205.72"/>
    <x v="1"/>
    <n v="20"/>
    <n v="2"/>
    <n v="2022"/>
    <x v="0"/>
  </r>
  <r>
    <s v="CLM-10254"/>
    <d v="2023-06-06T00:00:00"/>
    <d v="2023-06-14T00:00:00"/>
    <d v="2023-07-02T00:00:00"/>
    <n v="68331.839999999997"/>
    <x v="0"/>
    <n v="1"/>
    <n v="1"/>
    <n v="2023"/>
    <x v="1"/>
  </r>
  <r>
    <s v="CLM-10312"/>
    <d v="2021-07-01T00:00:00"/>
    <d v="2021-08-18T00:00:00"/>
    <d v="2023-03-03T00:00:00"/>
    <n v="47340.08"/>
    <x v="1"/>
    <n v="20"/>
    <n v="2"/>
    <n v="2023"/>
    <x v="2"/>
  </r>
  <r>
    <s v="CLM-10725"/>
    <d v="2024-11-02T00:00:00"/>
    <d v="2025-01-16T00:00:00"/>
    <d v="2025-03-24T00:00:00"/>
    <n v="81166.679999999993"/>
    <x v="4"/>
    <n v="4"/>
    <n v="1"/>
    <n v="2025"/>
    <x v="0"/>
  </r>
  <r>
    <s v="CLM-10078"/>
    <d v="2023-04-06T00:00:00"/>
    <d v="2023-05-26T00:00:00"/>
    <d v="2023-07-18T00:00:00"/>
    <n v="68844.399999999994"/>
    <x v="0"/>
    <n v="3"/>
    <n v="1"/>
    <n v="2023"/>
    <x v="1"/>
  </r>
  <r>
    <s v="CLM-10649"/>
    <d v="2023-01-26T00:00:00"/>
    <d v="2023-02-26T00:00:00"/>
    <d v="2023-06-01T00:00:00"/>
    <n v="35266.31"/>
    <x v="0"/>
    <n v="5"/>
    <n v="1"/>
    <n v="2023"/>
    <x v="1"/>
  </r>
  <r>
    <s v="CLM-10751"/>
    <d v="2024-03-24T00:00:00"/>
    <d v="2024-05-25T00:00:00"/>
    <d v="2024-10-05T00:00:00"/>
    <n v="-16579.45"/>
    <x v="4"/>
    <n v="7"/>
    <n v="1"/>
    <n v="2024"/>
    <x v="1"/>
  </r>
  <r>
    <s v="CLM-10766"/>
    <d v="2021-10-20T00:00:00"/>
    <d v="2021-11-29T00:00:00"/>
    <d v="2022-03-22T00:00:00"/>
    <n v="36763.06"/>
    <x v="1"/>
    <n v="5"/>
    <n v="1"/>
    <n v="2022"/>
    <x v="0"/>
  </r>
  <r>
    <s v="CLM-10476"/>
    <d v="2023-05-24T00:00:00"/>
    <d v="2023-07-26T00:00:00"/>
    <d v="2025-02-10T00:00:00"/>
    <n v="39248.78"/>
    <x v="0"/>
    <n v="21"/>
    <n v="2"/>
    <n v="2025"/>
    <x v="2"/>
  </r>
  <r>
    <s v="CLM-10113"/>
    <d v="2020-02-04T00:00:00"/>
    <d v="2020-04-04T00:00:00"/>
    <d v="2020-07-19T00:00:00"/>
    <n v="17599.87"/>
    <x v="3"/>
    <n v="5"/>
    <n v="1"/>
    <n v="2020"/>
    <x v="1"/>
  </r>
  <r>
    <s v="CLM-10722"/>
    <d v="2021-08-07T00:00:00"/>
    <d v="2021-09-22T00:00:00"/>
    <d v="2021-11-15T00:00:00"/>
    <n v="13435.5"/>
    <x v="1"/>
    <n v="3"/>
    <n v="1"/>
    <n v="2021"/>
    <x v="1"/>
  </r>
  <r>
    <s v="CLM-10754"/>
    <d v="2023-12-13T00:00:00"/>
    <m/>
    <d v="2024-04-08T00:00:00"/>
    <n v="10460.86"/>
    <x v="0"/>
    <n v="4"/>
    <n v="1"/>
    <n v="2024"/>
    <x v="0"/>
  </r>
  <r>
    <s v="CLM-10760"/>
    <d v="2024-07-12T00:00:00"/>
    <d v="2024-09-21T00:00:00"/>
    <d v="2025-01-26T00:00:00"/>
    <n v="63400.34"/>
    <x v="4"/>
    <n v="6"/>
    <n v="1"/>
    <n v="2025"/>
    <x v="0"/>
  </r>
  <r>
    <s v="CLM-10298"/>
    <d v="2022-05-26T00:00:00"/>
    <d v="2022-07-29T00:00:00"/>
    <d v="2023-04-26T00:00:00"/>
    <n v="-15801.26"/>
    <x v="2"/>
    <n v="11"/>
    <n v="1"/>
    <n v="2023"/>
    <x v="0"/>
  </r>
  <r>
    <s v="CLM-10353"/>
    <d v="2020-04-10T00:00:00"/>
    <d v="2020-07-04T00:00:00"/>
    <d v="2020-11-09T00:00:00"/>
    <n v="9500.64"/>
    <x v="3"/>
    <n v="7"/>
    <n v="1"/>
    <n v="2020"/>
    <x v="1"/>
  </r>
  <r>
    <s v="CLM-10452"/>
    <d v="2024-01-17T00:00:00"/>
    <d v="2024-03-27T00:00:00"/>
    <d v="2024-09-27T00:00:00"/>
    <n v="22884.21"/>
    <x v="4"/>
    <n v="8"/>
    <n v="1"/>
    <n v="2024"/>
    <x v="1"/>
  </r>
  <r>
    <s v="CLM-10538"/>
    <d v="2021-12-30T00:00:00"/>
    <d v="2022-03-26T00:00:00"/>
    <d v="2022-08-09T00:00:00"/>
    <n v="69178.02"/>
    <x v="1"/>
    <n v="8"/>
    <n v="1"/>
    <n v="2022"/>
    <x v="0"/>
  </r>
  <r>
    <s v="CLM-10356"/>
    <d v="2020-02-16T00:00:00"/>
    <d v="2020-03-08T00:00:00"/>
    <d v="2020-05-07T00:00:00"/>
    <n v="82142.19"/>
    <x v="3"/>
    <n v="3"/>
    <n v="1"/>
    <n v="2020"/>
    <x v="1"/>
  </r>
  <r>
    <s v="CLM-10463"/>
    <d v="2022-07-08T00:00:00"/>
    <d v="2022-08-18T00:00:00"/>
    <d v="2023-05-04T00:00:00"/>
    <n v="46668.14"/>
    <x v="2"/>
    <n v="10"/>
    <n v="1"/>
    <n v="2023"/>
    <x v="0"/>
  </r>
  <r>
    <s v="CLM-10497"/>
    <d v="2022-07-16T00:00:00"/>
    <d v="2022-07-23T00:00:00"/>
    <d v="2023-02-04T00:00:00"/>
    <n v="80399.28"/>
    <x v="2"/>
    <n v="7"/>
    <n v="1"/>
    <n v="2023"/>
    <x v="0"/>
  </r>
  <r>
    <s v="CLM-10366"/>
    <d v="2023-03-21T00:00:00"/>
    <d v="2023-03-23T00:00:00"/>
    <d v="2024-09-06T00:00:00"/>
    <n v="45036.85"/>
    <x v="0"/>
    <n v="18"/>
    <n v="2"/>
    <n v="2024"/>
    <x v="0"/>
  </r>
  <r>
    <s v="CLM-10557"/>
    <d v="2020-10-10T00:00:00"/>
    <d v="2020-12-13T00:00:00"/>
    <d v="2021-04-19T00:00:00"/>
    <n v="50575.89"/>
    <x v="3"/>
    <n v="6"/>
    <n v="1"/>
    <n v="2021"/>
    <x v="0"/>
  </r>
  <r>
    <s v="CLM-10396"/>
    <d v="2024-11-11T00:00:00"/>
    <d v="2024-11-28T00:00:00"/>
    <d v="2025-01-07T00:00:00"/>
    <n v="11153.64"/>
    <x v="4"/>
    <n v="2"/>
    <n v="1"/>
    <n v="2025"/>
    <x v="0"/>
  </r>
  <r>
    <s v="CLM-10758"/>
    <d v="2021-01-31T00:00:00"/>
    <d v="2021-03-23T00:00:00"/>
    <d v="2021-12-29T00:00:00"/>
    <n v="42562.95"/>
    <x v="1"/>
    <n v="11"/>
    <n v="1"/>
    <n v="2021"/>
    <x v="1"/>
  </r>
  <r>
    <s v="CLM-10247"/>
    <d v="2023-06-10T00:00:00"/>
    <d v="2023-09-03T00:00:00"/>
    <d v="2023-12-05T00:00:00"/>
    <n v="33787.19"/>
    <x v="0"/>
    <n v="6"/>
    <n v="1"/>
    <n v="2023"/>
    <x v="1"/>
  </r>
  <r>
    <s v="CLM-10327"/>
    <d v="2024-05-12T00:00:00"/>
    <m/>
    <d v="2024-08-23T00:00:00"/>
    <n v="10194.450000000001"/>
    <x v="4"/>
    <n v="3"/>
    <n v="1"/>
    <n v="2024"/>
    <x v="1"/>
  </r>
  <r>
    <s v="CLM-10177"/>
    <d v="2020-02-03T00:00:00"/>
    <d v="2020-03-24T00:00:00"/>
    <d v="2020-06-21T00:00:00"/>
    <n v="10217.25"/>
    <x v="3"/>
    <n v="4"/>
    <n v="1"/>
    <n v="2020"/>
    <x v="1"/>
  </r>
  <r>
    <s v="CLM-10016"/>
    <d v="2024-12-01T00:00:00"/>
    <m/>
    <d v="2025-03-29T00:00:00"/>
    <n v="-10401.39"/>
    <x v="4"/>
    <n v="3"/>
    <n v="1"/>
    <n v="2025"/>
    <x v="0"/>
  </r>
  <r>
    <s v="CLM-10179"/>
    <d v="2022-05-13T00:00:00"/>
    <d v="2022-07-28T00:00:00"/>
    <d v="2023-04-14T00:00:00"/>
    <n v="22955.11"/>
    <x v="2"/>
    <n v="11"/>
    <n v="1"/>
    <n v="2023"/>
    <x v="0"/>
  </r>
  <r>
    <s v="CLM-10116"/>
    <d v="2023-04-19T00:00:00"/>
    <d v="2023-07-04T00:00:00"/>
    <d v="2024-03-04T00:00:00"/>
    <n v="34361.42"/>
    <x v="0"/>
    <n v="11"/>
    <n v="1"/>
    <n v="2024"/>
    <x v="0"/>
  </r>
  <r>
    <s v="CLM-10096"/>
    <d v="2022-01-02T00:00:00"/>
    <d v="2022-01-10T00:00:00"/>
    <d v="2022-03-27T00:00:00"/>
    <n v="4954.34"/>
    <x v="2"/>
    <n v="2"/>
    <n v="1"/>
    <n v="2022"/>
    <x v="1"/>
  </r>
  <r>
    <s v="CLM-10678"/>
    <d v="2022-12-22T00:00:00"/>
    <d v="2023-03-11T00:00:00"/>
    <d v="2023-10-06T00:00:00"/>
    <n v="80263.009999999995"/>
    <x v="2"/>
    <n v="10"/>
    <n v="1"/>
    <n v="2023"/>
    <x v="0"/>
  </r>
  <r>
    <s v="CLM-10205"/>
    <d v="2020-05-07T00:00:00"/>
    <d v="2020-05-31T00:00:00"/>
    <d v="2020-11-07T00:00:00"/>
    <n v="67669.759999999995"/>
    <x v="3"/>
    <n v="6"/>
    <n v="1"/>
    <n v="2020"/>
    <x v="1"/>
  </r>
  <r>
    <s v="CLM-10260"/>
    <d v="2021-03-10T00:00:00"/>
    <d v="2021-05-26T00:00:00"/>
    <d v="2022-05-30T00:00:00"/>
    <n v="7906.15"/>
    <x v="1"/>
    <n v="14"/>
    <n v="2"/>
    <n v="2022"/>
    <x v="0"/>
  </r>
  <r>
    <s v="CLM-10321"/>
    <d v="2020-08-16T00:00:00"/>
    <d v="2020-11-09T00:00:00"/>
    <d v="2021-07-01T00:00:00"/>
    <n v="2538.6999999999998"/>
    <x v="3"/>
    <n v="11"/>
    <n v="1"/>
    <n v="2021"/>
    <x v="0"/>
  </r>
  <r>
    <s v="CLM-10669"/>
    <d v="2021-12-27T00:00:00"/>
    <d v="2022-01-28T00:00:00"/>
    <d v="2022-10-01T00:00:00"/>
    <n v="73456.92"/>
    <x v="1"/>
    <n v="10"/>
    <n v="1"/>
    <n v="2022"/>
    <x v="0"/>
  </r>
  <r>
    <s v="CLM-10713"/>
    <d v="2021-07-28T00:00:00"/>
    <d v="2021-07-30T00:00:00"/>
    <d v="2022-02-14T00:00:00"/>
    <n v="66657.94"/>
    <x v="1"/>
    <n v="7"/>
    <n v="1"/>
    <n v="2022"/>
    <x v="0"/>
  </r>
  <r>
    <s v="CLM-10708"/>
    <d v="2021-11-16T00:00:00"/>
    <d v="2021-12-23T00:00:00"/>
    <d v="2023-06-18T00:00:00"/>
    <n v="82838.759999999995"/>
    <x v="1"/>
    <n v="19"/>
    <n v="2"/>
    <n v="2023"/>
    <x v="2"/>
  </r>
  <r>
    <s v="CLM-10576"/>
    <d v="2022-12-16T00:00:00"/>
    <d v="2023-02-17T00:00:00"/>
    <d v="2023-09-27T00:00:00"/>
    <n v="53712.38"/>
    <x v="2"/>
    <n v="9"/>
    <n v="1"/>
    <n v="2023"/>
    <x v="0"/>
  </r>
  <r>
    <s v="CLM-10231"/>
    <d v="2021-01-02T00:00:00"/>
    <d v="2021-02-19T00:00:00"/>
    <d v="2022-04-28T00:00:00"/>
    <n v="53237.84"/>
    <x v="1"/>
    <n v="15"/>
    <n v="2"/>
    <n v="2022"/>
    <x v="0"/>
  </r>
  <r>
    <s v="CLM-10150"/>
    <d v="2021-06-20T00:00:00"/>
    <d v="2021-06-25T00:00:00"/>
    <d v="2021-07-30T00:00:00"/>
    <n v="55523.71"/>
    <x v="1"/>
    <n v="1"/>
    <n v="1"/>
    <n v="2021"/>
    <x v="1"/>
  </r>
  <r>
    <s v="CLM-10415"/>
    <d v="2021-08-30T00:00:00"/>
    <d v="2021-11-09T00:00:00"/>
    <d v="2022-07-10T00:00:00"/>
    <n v="45156.88"/>
    <x v="1"/>
    <n v="11"/>
    <n v="1"/>
    <n v="2022"/>
    <x v="0"/>
  </r>
  <r>
    <s v="CLM-10199"/>
    <d v="2021-11-26T00:00:00"/>
    <m/>
    <d v="2022-10-23T00:00:00"/>
    <n v="81351.570000000007"/>
    <x v="1"/>
    <n v="11"/>
    <n v="1"/>
    <n v="2022"/>
    <x v="0"/>
  </r>
  <r>
    <s v="CLM-10311"/>
    <d v="2020-12-29T00:00:00"/>
    <d v="2021-01-17T00:00:00"/>
    <d v="2021-07-05T00:00:00"/>
    <n v="76510.990000000005"/>
    <x v="3"/>
    <n v="7"/>
    <n v="1"/>
    <n v="2021"/>
    <x v="0"/>
  </r>
  <r>
    <s v="CLM-10336"/>
    <d v="2023-07-13T00:00:00"/>
    <d v="2023-07-30T00:00:00"/>
    <d v="2023-10-17T00:00:00"/>
    <n v="-9024.2900000000009"/>
    <x v="0"/>
    <n v="3"/>
    <n v="1"/>
    <n v="2023"/>
    <x v="1"/>
  </r>
  <r>
    <s v="CLM-10509"/>
    <d v="2021-08-11T00:00:00"/>
    <d v="2021-08-28T00:00:00"/>
    <d v="2022-03-19T00:00:00"/>
    <n v="51067.95"/>
    <x v="1"/>
    <n v="7"/>
    <n v="1"/>
    <n v="2022"/>
    <x v="0"/>
  </r>
  <r>
    <s v="CLM-10005"/>
    <d v="2021-06-15T00:00:00"/>
    <d v="2021-07-16T00:00:00"/>
    <d v="2022-05-29T00:00:00"/>
    <n v="-12118.69"/>
    <x v="1"/>
    <n v="11"/>
    <n v="1"/>
    <n v="2022"/>
    <x v="0"/>
  </r>
  <r>
    <s v="CLM-10319"/>
    <d v="2024-05-14T00:00:00"/>
    <d v="2024-05-31T00:00:00"/>
    <d v="2025-01-20T00:00:00"/>
    <n v="75788.03"/>
    <x v="4"/>
    <n v="8"/>
    <n v="1"/>
    <n v="2025"/>
    <x v="0"/>
  </r>
  <r>
    <s v="CLM-10202"/>
    <d v="2022-04-25T00:00:00"/>
    <d v="2022-06-03T00:00:00"/>
    <d v="2023-12-15T00:00:00"/>
    <n v="54374.59"/>
    <x v="2"/>
    <n v="20"/>
    <n v="2"/>
    <n v="2023"/>
    <x v="0"/>
  </r>
  <r>
    <s v="CLM-10056"/>
    <d v="2020-11-30T00:00:00"/>
    <d v="2021-01-08T00:00:00"/>
    <d v="2021-04-02T00:00:00"/>
    <n v="-11407.35"/>
    <x v="3"/>
    <n v="5"/>
    <n v="1"/>
    <n v="2021"/>
    <x v="0"/>
  </r>
  <r>
    <s v="CLM-10588"/>
    <d v="2020-06-01T00:00:00"/>
    <d v="2020-08-05T00:00:00"/>
    <d v="2021-04-27T00:00:00"/>
    <n v="45488.93"/>
    <x v="3"/>
    <n v="10"/>
    <n v="1"/>
    <n v="2021"/>
    <x v="0"/>
  </r>
  <r>
    <s v="CLM-10039"/>
    <d v="2024-08-19T00:00:00"/>
    <d v="2024-10-04T00:00:00"/>
    <d v="2025-05-17T00:00:00"/>
    <n v="69024.94"/>
    <x v="4"/>
    <n v="9"/>
    <n v="1"/>
    <n v="2025"/>
    <x v="0"/>
  </r>
  <r>
    <s v="CLM-10518"/>
    <d v="2024-07-01T00:00:00"/>
    <d v="2024-08-11T00:00:00"/>
    <d v="2024-09-06T00:00:00"/>
    <n v="61835.29"/>
    <x v="4"/>
    <n v="2"/>
    <n v="1"/>
    <n v="2024"/>
    <x v="1"/>
  </r>
  <r>
    <s v="CLM-10378"/>
    <d v="2023-10-04T00:00:00"/>
    <d v="2023-10-29T00:00:00"/>
    <d v="2024-04-27T00:00:00"/>
    <n v="23499.45"/>
    <x v="0"/>
    <n v="6"/>
    <n v="1"/>
    <n v="2024"/>
    <x v="0"/>
  </r>
  <r>
    <s v="CLM-10193"/>
    <d v="2023-03-03T00:00:00"/>
    <d v="2023-05-29T00:00:00"/>
    <d v="2024-09-02T00:00:00"/>
    <n v="-17922"/>
    <x v="0"/>
    <n v="18"/>
    <n v="2"/>
    <n v="2024"/>
    <x v="0"/>
  </r>
  <r>
    <s v="CLM-10284"/>
    <d v="2023-06-03T00:00:00"/>
    <d v="2023-06-13T00:00:00"/>
    <d v="2024-05-18T00:00:00"/>
    <n v="53351.6"/>
    <x v="0"/>
    <n v="11"/>
    <n v="1"/>
    <n v="2024"/>
    <x v="0"/>
  </r>
  <r>
    <s v="CLM-10363"/>
    <d v="2020-02-29T00:00:00"/>
    <d v="2020-04-05T00:00:00"/>
    <d v="2020-08-09T00:00:00"/>
    <n v="-6883.01"/>
    <x v="3"/>
    <n v="6"/>
    <n v="1"/>
    <n v="2020"/>
    <x v="1"/>
  </r>
  <r>
    <s v="CLM-10692"/>
    <d v="2021-08-14T00:00:00"/>
    <d v="2021-11-11T00:00:00"/>
    <d v="2021-07-01T00:00:00"/>
    <n v="-3446.21"/>
    <x v="1"/>
    <n v="-1"/>
    <n v="0"/>
    <n v="2021"/>
    <x v="1"/>
  </r>
  <r>
    <s v="CLM-10297"/>
    <d v="2024-01-11T00:00:00"/>
    <d v="2024-02-17T00:00:00"/>
    <d v="2025-01-01T00:00:00"/>
    <n v="32731.79"/>
    <x v="4"/>
    <n v="12"/>
    <n v="1"/>
    <n v="2025"/>
    <x v="0"/>
  </r>
  <r>
    <s v="CLM-10515"/>
    <d v="2023-11-02T00:00:00"/>
    <d v="2023-12-02T00:00:00"/>
    <d v="2024-07-12T00:00:00"/>
    <n v="37014.67"/>
    <x v="0"/>
    <n v="8"/>
    <n v="1"/>
    <n v="2024"/>
    <x v="0"/>
  </r>
  <r>
    <s v="CLM-10084"/>
    <d v="2022-06-24T00:00:00"/>
    <d v="2022-08-20T00:00:00"/>
    <d v="2024-02-09T00:00:00"/>
    <n v="20563.07"/>
    <x v="2"/>
    <n v="20"/>
    <n v="2"/>
    <n v="2024"/>
    <x v="2"/>
  </r>
  <r>
    <s v="CLM-10532"/>
    <d v="2023-12-24T00:00:00"/>
    <d v="2024-02-25T00:00:00"/>
    <d v="2024-12-29T00:00:00"/>
    <n v="60478.67"/>
    <x v="0"/>
    <n v="12"/>
    <n v="1"/>
    <n v="2024"/>
    <x v="0"/>
  </r>
  <r>
    <s v="CLM-10388"/>
    <d v="2022-03-12T00:00:00"/>
    <d v="2022-03-21T00:00:00"/>
    <d v="2023-02-18T00:00:00"/>
    <n v="44440.69"/>
    <x v="2"/>
    <n v="11"/>
    <n v="1"/>
    <n v="2023"/>
    <x v="0"/>
  </r>
  <r>
    <s v="CLM-10451"/>
    <d v="2022-11-29T00:00:00"/>
    <d v="2023-01-10T00:00:00"/>
    <d v="2024-06-23T00:00:00"/>
    <n v="-19088"/>
    <x v="2"/>
    <n v="19"/>
    <n v="2"/>
    <n v="2024"/>
    <x v="2"/>
  </r>
  <r>
    <s v="CLM-10509"/>
    <d v="2021-08-11T00:00:00"/>
    <d v="2021-08-28T00:00:00"/>
    <d v="2022-06-24T00:00:00"/>
    <n v="79238.58"/>
    <x v="1"/>
    <n v="10"/>
    <n v="1"/>
    <n v="2022"/>
    <x v="0"/>
  </r>
  <r>
    <s v="CLM-10283"/>
    <d v="2022-06-16T00:00:00"/>
    <m/>
    <d v="2023-03-17T00:00:00"/>
    <n v="66266.62"/>
    <x v="2"/>
    <n v="9"/>
    <n v="1"/>
    <n v="2023"/>
    <x v="0"/>
  </r>
  <r>
    <s v="CLM-10644"/>
    <d v="2023-02-01T00:00:00"/>
    <d v="2023-02-17T00:00:00"/>
    <d v="2024-03-31T00:00:00"/>
    <n v="20118.41"/>
    <x v="0"/>
    <n v="13"/>
    <n v="2"/>
    <n v="2024"/>
    <x v="0"/>
  </r>
  <r>
    <s v="CLM-10586"/>
    <d v="2024-12-12T00:00:00"/>
    <d v="2025-03-09T00:00:00"/>
    <d v="2025-04-26T00:00:00"/>
    <n v="31452.91"/>
    <x v="4"/>
    <n v="4"/>
    <n v="1"/>
    <n v="2025"/>
    <x v="0"/>
  </r>
  <r>
    <s v="CLM-10569"/>
    <d v="2021-02-06T00:00:00"/>
    <d v="2021-03-08T00:00:00"/>
    <d v="2021-12-26T00:00:00"/>
    <n v="4246.3999999999996"/>
    <x v="1"/>
    <n v="10"/>
    <n v="1"/>
    <n v="2021"/>
    <x v="1"/>
  </r>
  <r>
    <s v="CLM-10048"/>
    <d v="2024-06-03T00:00:00"/>
    <d v="2024-07-20T00:00:00"/>
    <d v="2024-12-09T00:00:00"/>
    <n v="3154.64"/>
    <x v="4"/>
    <n v="6"/>
    <n v="1"/>
    <n v="2024"/>
    <x v="1"/>
  </r>
  <r>
    <s v="CLM-10001"/>
    <d v="2020-07-08T00:00:00"/>
    <d v="2020-09-11T00:00:00"/>
    <d v="2021-03-22T00:00:00"/>
    <n v="2128.85"/>
    <x v="3"/>
    <n v="8"/>
    <n v="1"/>
    <n v="2021"/>
    <x v="0"/>
  </r>
  <r>
    <s v="CLM-10585"/>
    <d v="2024-06-01T00:00:00"/>
    <d v="2024-08-16T00:00:00"/>
    <d v="2025-05-25T00:00:00"/>
    <n v="23718.26"/>
    <x v="4"/>
    <n v="11"/>
    <n v="1"/>
    <n v="2025"/>
    <x v="0"/>
  </r>
  <r>
    <s v="CLM-10101"/>
    <d v="2020-08-29T00:00:00"/>
    <d v="2020-10-25T00:00:00"/>
    <d v="2021-03-22T00:00:00"/>
    <n v="31385.58"/>
    <x v="3"/>
    <n v="7"/>
    <n v="1"/>
    <n v="2021"/>
    <x v="0"/>
  </r>
  <r>
    <s v="CLM-10112"/>
    <d v="2022-08-24T00:00:00"/>
    <d v="2022-10-23T00:00:00"/>
    <d v="2023-04-18T00:00:00"/>
    <n v="-4202.21"/>
    <x v="2"/>
    <n v="8"/>
    <n v="1"/>
    <n v="2023"/>
    <x v="0"/>
  </r>
  <r>
    <s v="CLM-10778"/>
    <d v="2020-09-16T00:00:00"/>
    <d v="2020-09-22T00:00:00"/>
    <d v="2021-06-07T00:00:00"/>
    <n v="38927.75"/>
    <x v="3"/>
    <n v="9"/>
    <n v="1"/>
    <n v="2021"/>
    <x v="0"/>
  </r>
  <r>
    <s v="CLM-10255"/>
    <d v="2020-09-29T00:00:00"/>
    <d v="2020-10-29T00:00:00"/>
    <d v="2021-10-12T00:00:00"/>
    <n v="67074.820000000007"/>
    <x v="3"/>
    <n v="13"/>
    <n v="2"/>
    <n v="2021"/>
    <x v="0"/>
  </r>
  <r>
    <s v="CLM-10752"/>
    <d v="2021-01-26T00:00:00"/>
    <d v="2021-03-05T00:00:00"/>
    <d v="2021-11-29T00:00:00"/>
    <n v="38238.18"/>
    <x v="1"/>
    <n v="10"/>
    <n v="1"/>
    <n v="2021"/>
    <x v="1"/>
  </r>
  <r>
    <s v="CLM-10425"/>
    <d v="2024-12-26T00:00:00"/>
    <d v="2024-12-28T00:00:00"/>
    <d v="2025-03-12T00:00:00"/>
    <n v="78833.3"/>
    <x v="4"/>
    <n v="3"/>
    <n v="1"/>
    <n v="2025"/>
    <x v="0"/>
  </r>
  <r>
    <s v="CLM-10694"/>
    <d v="2020-10-10T00:00:00"/>
    <d v="2020-10-13T00:00:00"/>
    <d v="2021-04-23T00:00:00"/>
    <n v="58534.95"/>
    <x v="3"/>
    <n v="6"/>
    <n v="1"/>
    <n v="2021"/>
    <x v="0"/>
  </r>
  <r>
    <s v="CLM-10312"/>
    <d v="2021-07-01T00:00:00"/>
    <d v="2021-08-18T00:00:00"/>
    <d v="2022-03-31T00:00:00"/>
    <n v="-8616.51"/>
    <x v="1"/>
    <n v="8"/>
    <n v="1"/>
    <n v="2022"/>
    <x v="0"/>
  </r>
  <r>
    <s v="CLM-10303"/>
    <d v="2021-03-20T00:00:00"/>
    <d v="2021-04-27T00:00:00"/>
    <d v="2021-09-20T00:00:00"/>
    <n v="38502.639999999999"/>
    <x v="1"/>
    <n v="6"/>
    <n v="1"/>
    <n v="2021"/>
    <x v="1"/>
  </r>
  <r>
    <s v="CLM-10137"/>
    <d v="2023-01-10T00:00:00"/>
    <d v="2023-02-11T00:00:00"/>
    <d v="2025-01-18T00:00:00"/>
    <n v="80827.5"/>
    <x v="0"/>
    <n v="24"/>
    <n v="2"/>
    <n v="2025"/>
    <x v="2"/>
  </r>
  <r>
    <s v="CLM-10513"/>
    <d v="2020-05-28T00:00:00"/>
    <d v="2020-05-29T00:00:00"/>
    <d v="2021-03-13T00:00:00"/>
    <n v="-12320.61"/>
    <x v="3"/>
    <n v="10"/>
    <n v="1"/>
    <n v="2021"/>
    <x v="0"/>
  </r>
  <r>
    <s v="CLM-10333"/>
    <d v="2020-08-21T00:00:00"/>
    <d v="2020-10-11T00:00:00"/>
    <d v="2021-06-08T00:00:00"/>
    <n v="19745.98"/>
    <x v="3"/>
    <n v="10"/>
    <n v="1"/>
    <n v="2021"/>
    <x v="0"/>
  </r>
  <r>
    <s v="CLM-10078"/>
    <d v="2023-04-06T00:00:00"/>
    <d v="2023-05-26T00:00:00"/>
    <d v="2024-04-19T00:00:00"/>
    <n v="-15359.77"/>
    <x v="0"/>
    <n v="12"/>
    <n v="1"/>
    <n v="2024"/>
    <x v="0"/>
  </r>
  <r>
    <s v="CLM-10273"/>
    <d v="2023-04-03T00:00:00"/>
    <d v="2023-06-24T00:00:00"/>
    <d v="2023-09-12T00:00:00"/>
    <n v="23145.84"/>
    <x v="0"/>
    <n v="5"/>
    <n v="1"/>
    <n v="2023"/>
    <x v="1"/>
  </r>
  <r>
    <s v="CLM-10468"/>
    <d v="2023-04-09T00:00:00"/>
    <d v="2023-05-27T00:00:00"/>
    <d v="2024-02-29T00:00:00"/>
    <n v="57114.71"/>
    <x v="0"/>
    <n v="10"/>
    <n v="1"/>
    <n v="2024"/>
    <x v="0"/>
  </r>
  <r>
    <s v="CLM-10622"/>
    <d v="2023-03-12T00:00:00"/>
    <d v="2023-03-27T00:00:00"/>
    <d v="2023-07-20T00:00:00"/>
    <n v="71519.100000000006"/>
    <x v="0"/>
    <n v="4"/>
    <n v="1"/>
    <n v="2023"/>
    <x v="1"/>
  </r>
  <r>
    <s v="CLM-10213"/>
    <d v="2023-06-19T00:00:00"/>
    <d v="2023-07-13T00:00:00"/>
    <d v="2024-11-26T00:00:00"/>
    <n v="42990.99"/>
    <x v="0"/>
    <n v="17"/>
    <n v="2"/>
    <n v="2024"/>
    <x v="0"/>
  </r>
  <r>
    <s v="CLM-10685"/>
    <d v="2020-03-16T00:00:00"/>
    <d v="2020-03-17T00:00:00"/>
    <d v="2020-12-15T00:00:00"/>
    <n v="37894.410000000003"/>
    <x v="3"/>
    <n v="9"/>
    <n v="1"/>
    <n v="2020"/>
    <x v="1"/>
  </r>
  <r>
    <s v="CLM-10720"/>
    <d v="2023-01-28T00:00:00"/>
    <d v="2023-03-11T00:00:00"/>
    <d v="2023-11-13T00:00:00"/>
    <n v="61236.43"/>
    <x v="0"/>
    <n v="10"/>
    <n v="1"/>
    <n v="2023"/>
    <x v="1"/>
  </r>
  <r>
    <s v="CLM-10432"/>
    <d v="2022-01-11T00:00:00"/>
    <m/>
    <d v="2022-04-16T00:00:00"/>
    <n v="26991.95"/>
    <x v="2"/>
    <n v="3"/>
    <n v="1"/>
    <n v="2022"/>
    <x v="1"/>
  </r>
  <r>
    <s v="CLM-10406"/>
    <d v="2020-04-05T00:00:00"/>
    <m/>
    <d v="2020-07-04T00:00:00"/>
    <n v="12861.46"/>
    <x v="3"/>
    <n v="3"/>
    <n v="1"/>
    <n v="2020"/>
    <x v="1"/>
  </r>
  <r>
    <s v="CLM-10588"/>
    <d v="2020-06-01T00:00:00"/>
    <d v="2020-08-05T00:00:00"/>
    <d v="2020-10-12T00:00:00"/>
    <n v="-24209.57"/>
    <x v="3"/>
    <n v="4"/>
    <n v="1"/>
    <n v="2020"/>
    <x v="1"/>
  </r>
  <r>
    <s v="CLM-10411"/>
    <d v="2020-05-25T00:00:00"/>
    <m/>
    <d v="2020-10-10T00:00:00"/>
    <n v="42986.35"/>
    <x v="3"/>
    <n v="5"/>
    <n v="1"/>
    <n v="2020"/>
    <x v="1"/>
  </r>
  <r>
    <s v="CLM-10057"/>
    <d v="2020-05-31T00:00:00"/>
    <d v="2020-06-23T00:00:00"/>
    <d v="2021-09-23T00:00:00"/>
    <n v="7249.71"/>
    <x v="3"/>
    <n v="16"/>
    <n v="2"/>
    <n v="2021"/>
    <x v="0"/>
  </r>
  <r>
    <s v="CLM-10045"/>
    <d v="2021-10-18T00:00:00"/>
    <d v="2021-11-28T00:00:00"/>
    <d v="2022-01-26T00:00:00"/>
    <n v="-11134.14"/>
    <x v="1"/>
    <n v="3"/>
    <n v="1"/>
    <n v="2022"/>
    <x v="0"/>
  </r>
  <r>
    <s v="CLM-10510"/>
    <d v="2022-12-19T00:00:00"/>
    <d v="2023-01-26T00:00:00"/>
    <d v="2024-03-30T00:00:00"/>
    <n v="54149.34"/>
    <x v="2"/>
    <n v="15"/>
    <n v="2"/>
    <n v="2024"/>
    <x v="2"/>
  </r>
  <r>
    <s v="CLM-10262"/>
    <d v="2022-10-24T00:00:00"/>
    <d v="2022-12-02T00:00:00"/>
    <d v="2023-07-08T00:00:00"/>
    <n v="40783.919999999998"/>
    <x v="2"/>
    <n v="9"/>
    <n v="1"/>
    <n v="2023"/>
    <x v="0"/>
  </r>
  <r>
    <s v="CLM-10077"/>
    <d v="2021-08-28T00:00:00"/>
    <d v="2021-09-04T00:00:00"/>
    <d v="2022-02-17T00:00:00"/>
    <n v="41287.94"/>
    <x v="1"/>
    <n v="6"/>
    <n v="1"/>
    <n v="2022"/>
    <x v="0"/>
  </r>
  <r>
    <s v="CLM-10354"/>
    <d v="2022-12-21T00:00:00"/>
    <d v="2022-12-23T00:00:00"/>
    <d v="2023-06-06T00:00:00"/>
    <n v="60454.15"/>
    <x v="2"/>
    <n v="6"/>
    <n v="1"/>
    <n v="2023"/>
    <x v="0"/>
  </r>
  <r>
    <s v="CLM-10600"/>
    <d v="2022-03-31T00:00:00"/>
    <d v="2022-06-22T00:00:00"/>
    <d v="2022-12-29T00:00:00"/>
    <n v="68840.67"/>
    <x v="2"/>
    <n v="9"/>
    <n v="1"/>
    <n v="2022"/>
    <x v="1"/>
  </r>
  <r>
    <s v="CLM-10356"/>
    <d v="2020-02-16T00:00:00"/>
    <d v="2020-03-08T00:00:00"/>
    <d v="2020-04-11T00:00:00"/>
    <n v="58732.13"/>
    <x v="3"/>
    <n v="2"/>
    <n v="1"/>
    <n v="2020"/>
    <x v="1"/>
  </r>
  <r>
    <s v="CLM-10072"/>
    <d v="2021-07-24T00:00:00"/>
    <d v="2021-09-24T00:00:00"/>
    <d v="2022-09-16T00:00:00"/>
    <n v="80657.48"/>
    <x v="1"/>
    <n v="14"/>
    <n v="2"/>
    <n v="2022"/>
    <x v="0"/>
  </r>
  <r>
    <s v="CLM-10164"/>
    <d v="2023-05-27T00:00:00"/>
    <d v="2023-06-08T00:00:00"/>
    <d v="2024-06-06T00:00:00"/>
    <n v="73926.75"/>
    <x v="0"/>
    <n v="13"/>
    <n v="2"/>
    <n v="2024"/>
    <x v="0"/>
  </r>
  <r>
    <s v="CLM-10371"/>
    <d v="2020-05-14T00:00:00"/>
    <d v="2020-06-27T00:00:00"/>
    <d v="2020-11-04T00:00:00"/>
    <n v="12840.8"/>
    <x v="3"/>
    <n v="6"/>
    <n v="1"/>
    <n v="2020"/>
    <x v="1"/>
  </r>
  <r>
    <s v="CLM-10252"/>
    <d v="2022-08-02T00:00:00"/>
    <d v="2022-10-01T00:00:00"/>
    <d v="2024-05-02T00:00:00"/>
    <n v="79398.69"/>
    <x v="2"/>
    <n v="21"/>
    <n v="2"/>
    <n v="2024"/>
    <x v="2"/>
  </r>
  <r>
    <s v="CLM-10060"/>
    <d v="2023-02-13T00:00:00"/>
    <d v="2023-03-14T00:00:00"/>
    <d v="2023-07-30T00:00:00"/>
    <n v="33072.54"/>
    <x v="0"/>
    <n v="5"/>
    <n v="1"/>
    <n v="2023"/>
    <x v="1"/>
  </r>
  <r>
    <s v="CLM-10133"/>
    <d v="2023-07-29T00:00:00"/>
    <d v="2023-10-10T00:00:00"/>
    <d v="2024-09-15T00:00:00"/>
    <n v="68280.58"/>
    <x v="0"/>
    <n v="14"/>
    <n v="2"/>
    <n v="2024"/>
    <x v="0"/>
  </r>
  <r>
    <s v="CLM-10568"/>
    <d v="2023-03-22T00:00:00"/>
    <d v="2023-04-04T00:00:00"/>
    <d v="2024-02-22T00:00:00"/>
    <n v="69770.53"/>
    <x v="0"/>
    <n v="11"/>
    <n v="1"/>
    <n v="2024"/>
    <x v="0"/>
  </r>
  <r>
    <s v="CLM-10653"/>
    <d v="2024-04-05T00:00:00"/>
    <d v="2024-07-01T00:00:00"/>
    <d v="2024-03-10T00:00:00"/>
    <n v="35091.629999999997"/>
    <x v="4"/>
    <n v="-1"/>
    <n v="0"/>
    <n v="2024"/>
    <x v="1"/>
  </r>
  <r>
    <s v="CLM-10730"/>
    <d v="2020-03-13T00:00:00"/>
    <d v="2020-03-31T00:00:00"/>
    <d v="2020-10-25T00:00:00"/>
    <n v="43031.59"/>
    <x v="3"/>
    <n v="7"/>
    <n v="1"/>
    <n v="2020"/>
    <x v="1"/>
  </r>
  <r>
    <s v="CLM-10403"/>
    <d v="2024-07-09T00:00:00"/>
    <d v="2024-07-23T00:00:00"/>
    <d v="2025-05-07T00:00:00"/>
    <n v="19365.849999999999"/>
    <x v="4"/>
    <n v="10"/>
    <n v="1"/>
    <n v="2025"/>
    <x v="0"/>
  </r>
  <r>
    <s v="CLM-10330"/>
    <d v="2021-09-09T00:00:00"/>
    <d v="2021-10-11T00:00:00"/>
    <d v="2021-11-19T00:00:00"/>
    <n v="56153.59"/>
    <x v="1"/>
    <n v="2"/>
    <n v="1"/>
    <n v="2021"/>
    <x v="1"/>
  </r>
  <r>
    <s v="CLM-10014"/>
    <d v="2022-04-23T00:00:00"/>
    <d v="2022-06-30T00:00:00"/>
    <d v="2022-12-17T00:00:00"/>
    <n v="28076.45"/>
    <x v="2"/>
    <n v="8"/>
    <n v="1"/>
    <n v="2022"/>
    <x v="1"/>
  </r>
  <r>
    <s v="CLM-10500"/>
    <d v="2024-02-18T00:00:00"/>
    <d v="2024-04-24T00:00:00"/>
    <d v="2024-07-20T00:00:00"/>
    <n v="6858.85"/>
    <x v="4"/>
    <n v="5"/>
    <n v="1"/>
    <n v="2024"/>
    <x v="1"/>
  </r>
  <r>
    <s v="CLM-10301"/>
    <d v="2023-08-02T00:00:00"/>
    <d v="2023-09-16T00:00:00"/>
    <d v="2025-03-29T00:00:00"/>
    <n v="39031.97"/>
    <x v="0"/>
    <n v="19"/>
    <n v="2"/>
    <n v="2025"/>
    <x v="2"/>
  </r>
  <r>
    <s v="CLM-10022"/>
    <d v="2022-03-04T00:00:00"/>
    <d v="2022-05-25T00:00:00"/>
    <d v="2022-07-05T00:00:00"/>
    <n v="83598.720000000001"/>
    <x v="2"/>
    <n v="4"/>
    <n v="1"/>
    <n v="2022"/>
    <x v="1"/>
  </r>
  <r>
    <s v="CLM-10027"/>
    <d v="2021-06-20T00:00:00"/>
    <d v="2021-08-27T00:00:00"/>
    <d v="2021-09-24T00:00:00"/>
    <n v="13408.81"/>
    <x v="1"/>
    <n v="3"/>
    <n v="1"/>
    <n v="2021"/>
    <x v="1"/>
  </r>
  <r>
    <s v="CLM-10644"/>
    <d v="2023-02-01T00:00:00"/>
    <d v="2023-02-17T00:00:00"/>
    <d v="2023-09-02T00:00:00"/>
    <n v="26055.34"/>
    <x v="0"/>
    <n v="7"/>
    <n v="1"/>
    <n v="2023"/>
    <x v="1"/>
  </r>
  <r>
    <s v="CLM-10494"/>
    <d v="2024-07-25T00:00:00"/>
    <d v="2024-10-05T00:00:00"/>
    <d v="2025-02-10T00:00:00"/>
    <n v="34145.08"/>
    <x v="4"/>
    <n v="7"/>
    <n v="1"/>
    <n v="2025"/>
    <x v="0"/>
  </r>
  <r>
    <s v="CLM-10298"/>
    <d v="2022-05-26T00:00:00"/>
    <d v="2022-07-29T00:00:00"/>
    <d v="2022-12-23T00:00:00"/>
    <n v="14410.42"/>
    <x v="2"/>
    <n v="7"/>
    <n v="1"/>
    <n v="2022"/>
    <x v="1"/>
  </r>
  <r>
    <s v="CLM-10508"/>
    <d v="2022-06-05T00:00:00"/>
    <d v="2022-08-05T00:00:00"/>
    <d v="2023-03-03T00:00:00"/>
    <n v="48898.81"/>
    <x v="2"/>
    <n v="9"/>
    <n v="1"/>
    <n v="2023"/>
    <x v="0"/>
  </r>
  <r>
    <s v="CLM-10148"/>
    <d v="2022-03-26T00:00:00"/>
    <m/>
    <d v="2023-07-25T00:00:00"/>
    <n v="47529.38"/>
    <x v="2"/>
    <n v="16"/>
    <n v="2"/>
    <n v="2023"/>
    <x v="0"/>
  </r>
  <r>
    <s v="CLM-10087"/>
    <d v="2024-09-13T00:00:00"/>
    <d v="2024-09-29T00:00:00"/>
    <d v="2025-03-05T00:00:00"/>
    <n v="56239.69"/>
    <x v="4"/>
    <n v="6"/>
    <n v="1"/>
    <n v="2025"/>
    <x v="0"/>
  </r>
  <r>
    <s v="CLM-10414"/>
    <d v="2022-10-31T00:00:00"/>
    <d v="2022-12-06T00:00:00"/>
    <d v="2023-04-22T00:00:00"/>
    <n v="19194.5"/>
    <x v="2"/>
    <n v="6"/>
    <n v="1"/>
    <n v="2023"/>
    <x v="0"/>
  </r>
  <r>
    <s v="CLM-10531"/>
    <d v="2023-11-14T00:00:00"/>
    <d v="2023-11-26T00:00:00"/>
    <d v="2024-05-07T00:00:00"/>
    <n v="67743.31"/>
    <x v="0"/>
    <n v="6"/>
    <n v="1"/>
    <n v="2024"/>
    <x v="0"/>
  </r>
  <r>
    <s v="CLM-10707"/>
    <d v="2020-02-20T00:00:00"/>
    <d v="2020-04-20T00:00:00"/>
    <d v="2020-11-28T00:00:00"/>
    <n v="-1461.56"/>
    <x v="3"/>
    <n v="9"/>
    <n v="1"/>
    <n v="2020"/>
    <x v="1"/>
  </r>
  <r>
    <s v="CLM-10225"/>
    <d v="2022-12-14T00:00:00"/>
    <d v="2023-02-01T00:00:00"/>
    <d v="2024-07-18T00:00:00"/>
    <n v="9657.83"/>
    <x v="2"/>
    <n v="19"/>
    <n v="2"/>
    <n v="2024"/>
    <x v="2"/>
  </r>
  <r>
    <s v="CLM-10041"/>
    <d v="2023-01-01T00:00:00"/>
    <d v="2023-02-09T00:00:00"/>
    <d v="2023-10-15T00:00:00"/>
    <n v="35400.46"/>
    <x v="0"/>
    <n v="9"/>
    <n v="1"/>
    <n v="2023"/>
    <x v="1"/>
  </r>
  <r>
    <s v="CLM-10188"/>
    <d v="2020-04-03T00:00:00"/>
    <d v="2020-05-28T00:00:00"/>
    <d v="2021-02-05T00:00:00"/>
    <n v="11660.2"/>
    <x v="3"/>
    <n v="10"/>
    <n v="1"/>
    <n v="2021"/>
    <x v="0"/>
  </r>
  <r>
    <s v="CLM-10290"/>
    <d v="2024-01-22T00:00:00"/>
    <d v="2024-02-13T00:00:00"/>
    <d v="2024-09-24T00:00:00"/>
    <n v="42814.11"/>
    <x v="4"/>
    <n v="8"/>
    <n v="1"/>
    <n v="2024"/>
    <x v="1"/>
  </r>
  <r>
    <s v="CLM-10331"/>
    <d v="2020-01-09T00:00:00"/>
    <d v="2020-01-20T00:00:00"/>
    <d v="2022-03-10T00:00:00"/>
    <n v="35568.370000000003"/>
    <x v="3"/>
    <n v="26"/>
    <n v="3"/>
    <n v="2022"/>
    <x v="2"/>
  </r>
  <r>
    <s v="CLM-10453"/>
    <d v="2022-02-14T00:00:00"/>
    <d v="2022-03-16T00:00:00"/>
    <d v="2022-11-08T00:00:00"/>
    <n v="-4883.49"/>
    <x v="2"/>
    <n v="9"/>
    <n v="1"/>
    <n v="2022"/>
    <x v="1"/>
  </r>
  <r>
    <s v="CLM-10331"/>
    <d v="2020-01-09T00:00:00"/>
    <d v="2020-01-20T00:00:00"/>
    <d v="2021-04-27T00:00:00"/>
    <n v="-18589.09"/>
    <x v="3"/>
    <n v="15"/>
    <n v="2"/>
    <n v="2021"/>
    <x v="0"/>
  </r>
  <r>
    <s v="CLM-10241"/>
    <d v="2021-01-14T00:00:00"/>
    <d v="2021-04-13T00:00:00"/>
    <d v="2021-08-05T00:00:00"/>
    <n v="23397.68"/>
    <x v="1"/>
    <n v="7"/>
    <n v="1"/>
    <n v="2021"/>
    <x v="1"/>
  </r>
  <r>
    <s v="CLM-10209"/>
    <d v="2024-01-20T00:00:00"/>
    <d v="2024-01-26T00:00:00"/>
    <d v="2025-02-17T00:00:00"/>
    <n v="-6908.01"/>
    <x v="4"/>
    <n v="13"/>
    <n v="2"/>
    <n v="2025"/>
    <x v="0"/>
  </r>
  <r>
    <s v="CLM-10579"/>
    <d v="2020-07-05T00:00:00"/>
    <d v="2020-08-15T00:00:00"/>
    <d v="2021-05-04T00:00:00"/>
    <n v="11096.24"/>
    <x v="3"/>
    <n v="10"/>
    <n v="1"/>
    <n v="2021"/>
    <x v="0"/>
  </r>
  <r>
    <s v="CLM-10463"/>
    <d v="2022-07-08T00:00:00"/>
    <d v="2022-08-18T00:00:00"/>
    <d v="2022-10-27T00:00:00"/>
    <n v="-10435.370000000001"/>
    <x v="2"/>
    <n v="3"/>
    <n v="1"/>
    <n v="2022"/>
    <x v="1"/>
  </r>
  <r>
    <s v="CLM-10048"/>
    <d v="2024-06-03T00:00:00"/>
    <d v="2024-07-20T00:00:00"/>
    <d v="2025-04-26T00:00:00"/>
    <n v="42567.22"/>
    <x v="4"/>
    <n v="10"/>
    <n v="1"/>
    <n v="2025"/>
    <x v="0"/>
  </r>
  <r>
    <s v="CLM-10077"/>
    <d v="2021-08-28T00:00:00"/>
    <d v="2021-09-04T00:00:00"/>
    <d v="2022-03-27T00:00:00"/>
    <n v="64547.02"/>
    <x v="1"/>
    <n v="7"/>
    <n v="1"/>
    <n v="2022"/>
    <x v="0"/>
  </r>
  <r>
    <s v="CLM-10619"/>
    <d v="2022-07-06T00:00:00"/>
    <d v="2022-07-10T00:00:00"/>
    <d v="2023-01-08T00:00:00"/>
    <n v="51150.95"/>
    <x v="2"/>
    <n v="6"/>
    <n v="1"/>
    <n v="2023"/>
    <x v="0"/>
  </r>
  <r>
    <s v="CLM-10081"/>
    <d v="2022-03-12T00:00:00"/>
    <d v="2022-03-30T00:00:00"/>
    <d v="2022-12-19T00:00:00"/>
    <n v="66288.02"/>
    <x v="2"/>
    <n v="9"/>
    <n v="1"/>
    <n v="2022"/>
    <x v="1"/>
  </r>
  <r>
    <s v="CLM-10254"/>
    <d v="2023-06-06T00:00:00"/>
    <d v="2023-06-14T00:00:00"/>
    <d v="2024-01-14T00:00:00"/>
    <n v="-20640.439999999999"/>
    <x v="0"/>
    <n v="7"/>
    <n v="1"/>
    <n v="2024"/>
    <x v="0"/>
  </r>
  <r>
    <s v="CLM-10201"/>
    <d v="2024-11-01T00:00:00"/>
    <d v="2025-01-21T00:00:00"/>
    <d v="2025-04-22T00:00:00"/>
    <n v="-5017.0600000000004"/>
    <x v="4"/>
    <n v="5"/>
    <n v="1"/>
    <n v="2025"/>
    <x v="0"/>
  </r>
  <r>
    <s v="CLM-10267"/>
    <d v="2020-04-20T00:00:00"/>
    <d v="2020-04-21T00:00:00"/>
    <d v="2020-10-28T00:00:00"/>
    <n v="-24292.92"/>
    <x v="3"/>
    <n v="6"/>
    <n v="1"/>
    <n v="2020"/>
    <x v="1"/>
  </r>
  <r>
    <s v="CLM-10648"/>
    <d v="2022-06-02T00:00:00"/>
    <d v="2022-07-31T00:00:00"/>
    <d v="2022-10-24T00:00:00"/>
    <n v="47648.07"/>
    <x v="2"/>
    <n v="4"/>
    <n v="1"/>
    <n v="2022"/>
    <x v="1"/>
  </r>
  <r>
    <s v="CLM-10208"/>
    <d v="2021-07-08T00:00:00"/>
    <d v="2021-08-11T00:00:00"/>
    <d v="2021-10-27T00:00:00"/>
    <n v="22098.92"/>
    <x v="1"/>
    <n v="3"/>
    <n v="1"/>
    <n v="2021"/>
    <x v="1"/>
  </r>
  <r>
    <s v="CLM-10276"/>
    <d v="2022-06-03T00:00:00"/>
    <d v="2022-08-28T00:00:00"/>
    <d v="2023-07-02T00:00:00"/>
    <n v="79352.61"/>
    <x v="2"/>
    <n v="13"/>
    <n v="2"/>
    <n v="2023"/>
    <x v="0"/>
  </r>
  <r>
    <s v="CLM-10416"/>
    <d v="2022-03-28T00:00:00"/>
    <m/>
    <d v="2022-11-18T00:00:00"/>
    <n v="18029.02"/>
    <x v="2"/>
    <n v="8"/>
    <n v="1"/>
    <n v="2022"/>
    <x v="1"/>
  </r>
  <r>
    <s v="CLM-10665"/>
    <d v="2020-10-22T00:00:00"/>
    <d v="2020-12-05T00:00:00"/>
    <d v="2021-04-02T00:00:00"/>
    <n v="28215.64"/>
    <x v="3"/>
    <n v="6"/>
    <n v="1"/>
    <n v="2021"/>
    <x v="0"/>
  </r>
  <r>
    <s v="CLM-10799"/>
    <d v="2021-09-10T00:00:00"/>
    <d v="2021-11-30T00:00:00"/>
    <d v="2022-03-12T00:00:00"/>
    <n v="29795.8"/>
    <x v="1"/>
    <n v="6"/>
    <n v="1"/>
    <n v="2022"/>
    <x v="0"/>
  </r>
  <r>
    <s v="CLM-10628"/>
    <d v="2024-06-01T00:00:00"/>
    <d v="2024-07-05T00:00:00"/>
    <d v="2024-09-06T00:00:00"/>
    <n v="21370.36"/>
    <x v="4"/>
    <n v="3"/>
    <n v="1"/>
    <n v="2024"/>
    <x v="1"/>
  </r>
  <r>
    <s v="CLM-10222"/>
    <d v="2024-01-06T00:00:00"/>
    <d v="2024-04-01T00:00:00"/>
    <d v="2024-06-01T00:00:00"/>
    <n v="6813.99"/>
    <x v="4"/>
    <n v="5"/>
    <n v="1"/>
    <n v="2024"/>
    <x v="1"/>
  </r>
  <r>
    <s v="CLM-10306"/>
    <d v="2024-08-02T00:00:00"/>
    <d v="2024-08-05T00:00:00"/>
    <d v="2025-04-27T00:00:00"/>
    <n v="16586.38"/>
    <x v="4"/>
    <n v="8"/>
    <n v="1"/>
    <n v="2025"/>
    <x v="0"/>
  </r>
  <r>
    <s v="CLM-10365"/>
    <d v="2021-08-01T00:00:00"/>
    <d v="2021-08-17T00:00:00"/>
    <d v="2022-02-14T00:00:00"/>
    <n v="75537.36"/>
    <x v="1"/>
    <n v="6"/>
    <n v="1"/>
    <n v="2022"/>
    <x v="0"/>
  </r>
  <r>
    <s v="CLM-10760"/>
    <d v="2024-07-12T00:00:00"/>
    <d v="2024-09-21T00:00:00"/>
    <d v="2025-04-07T00:00:00"/>
    <n v="42795.29"/>
    <x v="4"/>
    <n v="9"/>
    <n v="1"/>
    <n v="2025"/>
    <x v="0"/>
  </r>
  <r>
    <s v="CLM-10753"/>
    <d v="2022-06-29T00:00:00"/>
    <d v="2022-08-01T00:00:00"/>
    <d v="2022-09-29T00:00:00"/>
    <n v="2628.28"/>
    <x v="2"/>
    <n v="3"/>
    <n v="1"/>
    <n v="2022"/>
    <x v="1"/>
  </r>
  <r>
    <s v="CLM-10093"/>
    <d v="2020-09-30T00:00:00"/>
    <d v="2020-11-18T00:00:00"/>
    <d v="2021-09-06T00:00:00"/>
    <n v="3780.55"/>
    <x v="3"/>
    <n v="12"/>
    <n v="1"/>
    <n v="2021"/>
    <x v="0"/>
  </r>
  <r>
    <s v="CLM-10476"/>
    <d v="2023-05-24T00:00:00"/>
    <d v="2023-07-26T00:00:00"/>
    <d v="2023-10-02T00:00:00"/>
    <n v="-3215.93"/>
    <x v="0"/>
    <n v="5"/>
    <n v="1"/>
    <n v="2023"/>
    <x v="1"/>
  </r>
  <r>
    <s v="CLM-10091"/>
    <d v="2022-03-03T00:00:00"/>
    <d v="2022-05-07T00:00:00"/>
    <d v="2023-03-29T00:00:00"/>
    <n v="10044.219999999999"/>
    <x v="2"/>
    <n v="12"/>
    <n v="1"/>
    <n v="2023"/>
    <x v="0"/>
  </r>
  <r>
    <s v="CLM-10146"/>
    <d v="2020-09-10T00:00:00"/>
    <d v="2020-11-21T00:00:00"/>
    <d v="2021-08-07T00:00:00"/>
    <n v="52357.58"/>
    <x v="3"/>
    <n v="11"/>
    <n v="1"/>
    <n v="2021"/>
    <x v="0"/>
  </r>
  <r>
    <s v="CLM-10328"/>
    <d v="2024-10-02T00:00:00"/>
    <d v="2024-11-16T00:00:00"/>
    <d v="2025-05-18T00:00:00"/>
    <n v="-12481.08"/>
    <x v="4"/>
    <n v="7"/>
    <n v="1"/>
    <n v="2025"/>
    <x v="0"/>
  </r>
  <r>
    <s v="CLM-10183"/>
    <d v="2024-10-14T00:00:00"/>
    <d v="2024-10-22T00:00:00"/>
    <d v="2025-05-05T00:00:00"/>
    <n v="9819.07"/>
    <x v="4"/>
    <n v="7"/>
    <n v="1"/>
    <n v="2025"/>
    <x v="0"/>
  </r>
  <r>
    <s v="CLM-10146"/>
    <d v="2020-09-10T00:00:00"/>
    <d v="2020-11-21T00:00:00"/>
    <d v="2022-02-26T00:00:00"/>
    <n v="10043.77"/>
    <x v="3"/>
    <n v="17"/>
    <n v="2"/>
    <n v="2022"/>
    <x v="2"/>
  </r>
  <r>
    <s v="CLM-10164"/>
    <d v="2023-05-27T00:00:00"/>
    <d v="2023-06-08T00:00:00"/>
    <d v="2024-09-07T00:00:00"/>
    <n v="6543.79"/>
    <x v="0"/>
    <n v="16"/>
    <n v="2"/>
    <n v="2024"/>
    <x v="0"/>
  </r>
  <r>
    <s v="CLM-10682"/>
    <d v="2022-11-29T00:00:00"/>
    <d v="2023-01-04T00:00:00"/>
    <d v="2023-12-26T00:00:00"/>
    <n v="37770.620000000003"/>
    <x v="2"/>
    <n v="13"/>
    <n v="2"/>
    <n v="2023"/>
    <x v="0"/>
  </r>
  <r>
    <s v="CLM-10232"/>
    <d v="2021-09-05T00:00:00"/>
    <d v="2021-09-10T00:00:00"/>
    <d v="2022-04-24T00:00:00"/>
    <n v="-5047.7"/>
    <x v="1"/>
    <n v="7"/>
    <n v="1"/>
    <n v="2022"/>
    <x v="0"/>
  </r>
  <r>
    <s v="CLM-10458"/>
    <d v="2022-10-02T00:00:00"/>
    <d v="2022-10-24T00:00:00"/>
    <d v="2023-04-22T00:00:00"/>
    <n v="51484.53"/>
    <x v="2"/>
    <n v="6"/>
    <n v="1"/>
    <n v="2023"/>
    <x v="0"/>
  </r>
  <r>
    <s v="CLM-10340"/>
    <d v="2023-08-25T00:00:00"/>
    <d v="2023-10-07T00:00:00"/>
    <d v="2023-11-30T00:00:00"/>
    <n v="-9418.94"/>
    <x v="0"/>
    <n v="3"/>
    <n v="1"/>
    <n v="2023"/>
    <x v="1"/>
  </r>
  <r>
    <s v="CLM-10139"/>
    <d v="2024-01-29T00:00:00"/>
    <d v="2024-02-27T00:00:00"/>
    <d v="2025-01-16T00:00:00"/>
    <n v="29088.880000000001"/>
    <x v="4"/>
    <n v="12"/>
    <n v="1"/>
    <n v="2025"/>
    <x v="0"/>
  </r>
  <r>
    <s v="CLM-10506"/>
    <d v="2022-02-14T00:00:00"/>
    <d v="2022-03-24T00:00:00"/>
    <d v="2022-12-31T00:00:00"/>
    <n v="18211.810000000001"/>
    <x v="2"/>
    <n v="10"/>
    <n v="1"/>
    <n v="2022"/>
    <x v="1"/>
  </r>
  <r>
    <s v="CLM-10093"/>
    <d v="2020-09-30T00:00:00"/>
    <d v="2020-11-18T00:00:00"/>
    <d v="2021-11-14T00:00:00"/>
    <n v="-2393.02"/>
    <x v="3"/>
    <n v="14"/>
    <n v="2"/>
    <n v="2021"/>
    <x v="0"/>
  </r>
  <r>
    <s v="CLM-10720"/>
    <d v="2023-01-28T00:00:00"/>
    <d v="2023-03-11T00:00:00"/>
    <d v="2023-07-30T00:00:00"/>
    <n v="79043.149999999994"/>
    <x v="0"/>
    <n v="6"/>
    <n v="1"/>
    <n v="2023"/>
    <x v="1"/>
  </r>
  <r>
    <s v="CLM-10067"/>
    <d v="2021-04-24T00:00:00"/>
    <d v="2021-05-11T00:00:00"/>
    <d v="2022-05-15T00:00:00"/>
    <n v="16760.59"/>
    <x v="1"/>
    <n v="13"/>
    <n v="2"/>
    <n v="2022"/>
    <x v="0"/>
  </r>
  <r>
    <s v="CLM-10268"/>
    <d v="2023-11-02T00:00:00"/>
    <d v="2023-12-19T00:00:00"/>
    <d v="2025-03-03T00:00:00"/>
    <n v="19330.59"/>
    <x v="0"/>
    <n v="16"/>
    <n v="2"/>
    <n v="2025"/>
    <x v="2"/>
  </r>
  <r>
    <s v="CLM-10300"/>
    <d v="2024-08-17T00:00:00"/>
    <d v="2024-10-02T00:00:00"/>
    <d v="2025-04-10T00:00:00"/>
    <n v="-1950.73"/>
    <x v="4"/>
    <n v="8"/>
    <n v="1"/>
    <n v="2025"/>
    <x v="0"/>
  </r>
  <r>
    <s v="CLM-10027"/>
    <d v="2021-06-20T00:00:00"/>
    <d v="2021-08-27T00:00:00"/>
    <d v="2022-03-12T00:00:00"/>
    <n v="2910.27"/>
    <x v="1"/>
    <n v="9"/>
    <n v="1"/>
    <n v="2022"/>
    <x v="0"/>
  </r>
  <r>
    <s v="CLM-10787"/>
    <d v="2022-05-27T00:00:00"/>
    <m/>
    <d v="2023-09-21T00:00:00"/>
    <n v="72576.25"/>
    <x v="2"/>
    <n v="16"/>
    <n v="2"/>
    <n v="2023"/>
    <x v="0"/>
  </r>
  <r>
    <s v="CLM-10175"/>
    <d v="2021-11-06T00:00:00"/>
    <d v="2021-11-19T00:00:00"/>
    <d v="2022-07-10T00:00:00"/>
    <n v="54702.04"/>
    <x v="1"/>
    <n v="8"/>
    <n v="1"/>
    <n v="2022"/>
    <x v="0"/>
  </r>
  <r>
    <s v="CLM-10029"/>
    <d v="2021-03-21T00:00:00"/>
    <d v="2021-03-31T00:00:00"/>
    <d v="2021-06-04T00:00:00"/>
    <n v="77426.78"/>
    <x v="1"/>
    <n v="3"/>
    <n v="1"/>
    <n v="2021"/>
    <x v="1"/>
  </r>
  <r>
    <s v="CLM-10074"/>
    <d v="2022-05-14T00:00:00"/>
    <d v="2022-06-22T00:00:00"/>
    <d v="2022-11-15T00:00:00"/>
    <n v="14981.7"/>
    <x v="2"/>
    <n v="6"/>
    <n v="1"/>
    <n v="2022"/>
    <x v="1"/>
  </r>
  <r>
    <s v="CLM-10545"/>
    <d v="2022-06-02T00:00:00"/>
    <d v="2022-07-17T00:00:00"/>
    <d v="2023-02-21T00:00:00"/>
    <n v="13023.19"/>
    <x v="2"/>
    <n v="8"/>
    <n v="1"/>
    <n v="2023"/>
    <x v="0"/>
  </r>
  <r>
    <s v="CLM-10504"/>
    <d v="2024-10-03T00:00:00"/>
    <d v="2024-11-13T00:00:00"/>
    <d v="2024-12-20T00:00:00"/>
    <n v="-15531.6"/>
    <x v="4"/>
    <n v="2"/>
    <n v="1"/>
    <n v="2024"/>
    <x v="1"/>
  </r>
  <r>
    <s v="CLM-10129"/>
    <d v="2020-03-20T00:00:00"/>
    <d v="2020-04-22T00:00:00"/>
    <d v="2021-08-08T00:00:00"/>
    <n v="-18253.52"/>
    <x v="3"/>
    <n v="17"/>
    <n v="2"/>
    <n v="2021"/>
    <x v="0"/>
  </r>
  <r>
    <s v="CLM-10259"/>
    <d v="2022-04-20T00:00:00"/>
    <d v="2022-06-24T00:00:00"/>
    <d v="2022-10-05T00:00:00"/>
    <n v="22397.439999999999"/>
    <x v="2"/>
    <n v="6"/>
    <n v="1"/>
    <n v="2022"/>
    <x v="1"/>
  </r>
  <r>
    <s v="CLM-10023"/>
    <d v="2021-07-05T00:00:00"/>
    <d v="2021-07-16T00:00:00"/>
    <d v="2021-12-08T00:00:00"/>
    <n v="-2516.96"/>
    <x v="1"/>
    <n v="5"/>
    <n v="1"/>
    <n v="2021"/>
    <x v="1"/>
  </r>
  <r>
    <s v="CLM-10476"/>
    <d v="2023-05-24T00:00:00"/>
    <d v="2023-07-26T00:00:00"/>
    <d v="2024-03-09T00:00:00"/>
    <n v="66713.64"/>
    <x v="0"/>
    <n v="10"/>
    <n v="1"/>
    <n v="2024"/>
    <x v="0"/>
  </r>
  <r>
    <s v="CLM-10462"/>
    <d v="2020-07-23T00:00:00"/>
    <d v="2020-08-15T00:00:00"/>
    <d v="2021-03-25T00:00:00"/>
    <n v="61867.27"/>
    <x v="3"/>
    <n v="8"/>
    <n v="1"/>
    <n v="2021"/>
    <x v="0"/>
  </r>
  <r>
    <s v="CLM-10180"/>
    <d v="2022-02-23T00:00:00"/>
    <d v="2022-04-26T00:00:00"/>
    <d v="2023-03-23T00:00:00"/>
    <n v="64522.52"/>
    <x v="2"/>
    <n v="13"/>
    <n v="2"/>
    <n v="2023"/>
    <x v="0"/>
  </r>
  <r>
    <s v="CLM-10445"/>
    <d v="2021-07-18T00:00:00"/>
    <d v="2021-08-18T00:00:00"/>
    <d v="2022-07-13T00:00:00"/>
    <n v="72588.87"/>
    <x v="1"/>
    <n v="12"/>
    <n v="1"/>
    <n v="2022"/>
    <x v="0"/>
  </r>
  <r>
    <s v="CLM-10426"/>
    <d v="2023-10-14T00:00:00"/>
    <d v="2023-11-25T00:00:00"/>
    <d v="2024-10-29T00:00:00"/>
    <n v="38241.629999999997"/>
    <x v="0"/>
    <n v="12"/>
    <n v="1"/>
    <n v="2024"/>
    <x v="0"/>
  </r>
  <r>
    <s v="CLM-10799"/>
    <d v="2021-09-10T00:00:00"/>
    <d v="2021-11-30T00:00:00"/>
    <d v="2022-06-19T00:00:00"/>
    <n v="35629.550000000003"/>
    <x v="1"/>
    <n v="9"/>
    <n v="1"/>
    <n v="2022"/>
    <x v="0"/>
  </r>
  <r>
    <s v="CLM-10761"/>
    <d v="2022-05-24T00:00:00"/>
    <d v="2022-07-03T00:00:00"/>
    <d v="2023-08-02T00:00:00"/>
    <n v="-10355.469999999999"/>
    <x v="2"/>
    <n v="15"/>
    <n v="2"/>
    <n v="2023"/>
    <x v="0"/>
  </r>
  <r>
    <s v="CLM-10556"/>
    <d v="2022-02-22T00:00:00"/>
    <d v="2022-03-30T00:00:00"/>
    <d v="2022-08-13T00:00:00"/>
    <n v="15899.85"/>
    <x v="2"/>
    <n v="6"/>
    <n v="1"/>
    <n v="2022"/>
    <x v="1"/>
  </r>
  <r>
    <s v="CLM-10157"/>
    <d v="2020-12-19T00:00:00"/>
    <d v="2021-01-27T00:00:00"/>
    <d v="2022-01-06T00:00:00"/>
    <n v="2943.72"/>
    <x v="3"/>
    <n v="13"/>
    <n v="2"/>
    <n v="2022"/>
    <x v="2"/>
  </r>
  <r>
    <s v="CLM-10585"/>
    <d v="2024-06-01T00:00:00"/>
    <d v="2024-08-16T00:00:00"/>
    <d v="2024-11-24T00:00:00"/>
    <n v="46954.85"/>
    <x v="4"/>
    <n v="5"/>
    <n v="1"/>
    <n v="2024"/>
    <x v="1"/>
  </r>
  <r>
    <s v="CLM-10055"/>
    <d v="2022-02-19T00:00:00"/>
    <d v="2022-05-07T00:00:00"/>
    <d v="2022-08-15T00:00:00"/>
    <n v="46082.99"/>
    <x v="2"/>
    <n v="6"/>
    <n v="1"/>
    <n v="2022"/>
    <x v="1"/>
  </r>
  <r>
    <s v="CLM-10173"/>
    <d v="2021-10-05T00:00:00"/>
    <d v="2021-12-04T00:00:00"/>
    <d v="2022-06-27T00:00:00"/>
    <n v="-24219.200000000001"/>
    <x v="1"/>
    <n v="8"/>
    <n v="1"/>
    <n v="2022"/>
    <x v="0"/>
  </r>
  <r>
    <s v="CLM-10715"/>
    <d v="2022-01-13T00:00:00"/>
    <m/>
    <d v="2022-10-26T00:00:00"/>
    <n v="82344.08"/>
    <x v="2"/>
    <n v="9"/>
    <n v="1"/>
    <n v="2022"/>
    <x v="1"/>
  </r>
  <r>
    <s v="CLM-10350"/>
    <d v="2021-06-25T00:00:00"/>
    <d v="2021-07-30T00:00:00"/>
    <d v="2021-11-29T00:00:00"/>
    <n v="48126.87"/>
    <x v="1"/>
    <n v="5"/>
    <n v="1"/>
    <n v="2021"/>
    <x v="1"/>
  </r>
  <r>
    <s v="CLM-10221"/>
    <d v="2022-02-14T00:00:00"/>
    <d v="2022-04-25T00:00:00"/>
    <d v="2022-05-25T00:00:00"/>
    <n v="-20176.259999999998"/>
    <x v="2"/>
    <n v="3"/>
    <n v="1"/>
    <n v="2022"/>
    <x v="1"/>
  </r>
  <r>
    <s v="CLM-10785"/>
    <d v="2021-05-19T00:00:00"/>
    <d v="2021-08-03T00:00:00"/>
    <d v="2022-08-19T00:00:00"/>
    <n v="22884.34"/>
    <x v="1"/>
    <n v="15"/>
    <n v="2"/>
    <n v="2022"/>
    <x v="0"/>
  </r>
  <r>
    <s v="CLM-10315"/>
    <d v="2024-10-19T00:00:00"/>
    <d v="2024-11-19T00:00:00"/>
    <d v="2024-12-24T00:00:00"/>
    <n v="24081.88"/>
    <x v="4"/>
    <n v="2"/>
    <n v="1"/>
    <n v="2024"/>
    <x v="1"/>
  </r>
  <r>
    <s v="CLM-10084"/>
    <d v="2022-06-24T00:00:00"/>
    <d v="2022-08-20T00:00:00"/>
    <d v="2023-09-06T00:00:00"/>
    <n v="32476.05"/>
    <x v="2"/>
    <n v="15"/>
    <n v="2"/>
    <n v="2023"/>
    <x v="0"/>
  </r>
  <r>
    <s v="CLM-10387"/>
    <d v="2022-08-14T00:00:00"/>
    <d v="2022-09-25T00:00:00"/>
    <d v="2023-05-07T00:00:00"/>
    <n v="36694.11"/>
    <x v="2"/>
    <n v="9"/>
    <n v="1"/>
    <n v="2023"/>
    <x v="0"/>
  </r>
  <r>
    <s v="CLM-10182"/>
    <d v="2024-04-04T00:00:00"/>
    <d v="2024-04-15T00:00:00"/>
    <d v="2024-11-08T00:00:00"/>
    <n v="79024.62"/>
    <x v="4"/>
    <n v="7"/>
    <n v="1"/>
    <n v="2024"/>
    <x v="1"/>
  </r>
  <r>
    <s v="CLM-10371"/>
    <d v="2020-05-14T00:00:00"/>
    <d v="2020-06-27T00:00:00"/>
    <d v="2021-05-04T00:00:00"/>
    <n v="12711.3"/>
    <x v="3"/>
    <n v="12"/>
    <n v="1"/>
    <n v="2021"/>
    <x v="0"/>
  </r>
  <r>
    <s v="CLM-10685"/>
    <d v="2020-03-16T00:00:00"/>
    <d v="2020-03-17T00:00:00"/>
    <d v="2021-04-21T00:00:00"/>
    <n v="25704.46"/>
    <x v="3"/>
    <n v="13"/>
    <n v="2"/>
    <n v="2021"/>
    <x v="0"/>
  </r>
  <r>
    <s v="CLM-10611"/>
    <d v="2022-04-22T00:00:00"/>
    <d v="2022-06-11T00:00:00"/>
    <d v="2022-08-21T00:00:00"/>
    <n v="55138.66"/>
    <x v="2"/>
    <n v="4"/>
    <n v="1"/>
    <n v="2022"/>
    <x v="1"/>
  </r>
  <r>
    <s v="CLM-10495"/>
    <d v="2020-05-14T00:00:00"/>
    <d v="2020-08-08T00:00:00"/>
    <d v="2021-01-28T00:00:00"/>
    <n v="-12528.86"/>
    <x v="3"/>
    <n v="8"/>
    <n v="1"/>
    <n v="2021"/>
    <x v="0"/>
  </r>
  <r>
    <s v="CLM-10483"/>
    <d v="2021-02-16T00:00:00"/>
    <d v="2021-03-07T00:00:00"/>
    <d v="2021-04-07T00:00:00"/>
    <n v="15307.23"/>
    <x v="1"/>
    <n v="2"/>
    <n v="1"/>
    <n v="2021"/>
    <x v="1"/>
  </r>
  <r>
    <s v="CLM-10007"/>
    <d v="2022-12-13T00:00:00"/>
    <d v="2023-01-27T00:00:00"/>
    <d v="2023-12-12T00:00:00"/>
    <n v="-19147.45"/>
    <x v="2"/>
    <n v="12"/>
    <n v="1"/>
    <n v="2023"/>
    <x v="0"/>
  </r>
  <r>
    <s v="CLM-10666"/>
    <d v="2022-01-27T00:00:00"/>
    <d v="2022-03-02T00:00:00"/>
    <d v="2022-09-03T00:00:00"/>
    <n v="71602.2"/>
    <x v="2"/>
    <n v="8"/>
    <n v="1"/>
    <n v="2022"/>
    <x v="1"/>
  </r>
  <r>
    <s v="CLM-10182"/>
    <d v="2024-04-04T00:00:00"/>
    <d v="2024-04-15T00:00:00"/>
    <d v="2024-09-08T00:00:00"/>
    <n v="54701.33"/>
    <x v="4"/>
    <n v="5"/>
    <n v="1"/>
    <n v="2024"/>
    <x v="1"/>
  </r>
  <r>
    <s v="CLM-10383"/>
    <d v="2023-06-20T00:00:00"/>
    <d v="2023-07-10T00:00:00"/>
    <d v="2024-07-20T00:00:00"/>
    <n v="34410.559999999998"/>
    <x v="0"/>
    <n v="13"/>
    <n v="2"/>
    <n v="2024"/>
    <x v="0"/>
  </r>
  <r>
    <s v="CLM-10101"/>
    <d v="2020-08-29T00:00:00"/>
    <d v="2020-10-25T00:00:00"/>
    <d v="2020-12-25T00:00:00"/>
    <n v="50666.76"/>
    <x v="3"/>
    <n v="4"/>
    <n v="1"/>
    <n v="2020"/>
    <x v="1"/>
  </r>
  <r>
    <s v="CLM-10332"/>
    <d v="2023-04-25T00:00:00"/>
    <d v="2023-06-10T00:00:00"/>
    <d v="2024-07-08T00:00:00"/>
    <n v="40884.74"/>
    <x v="0"/>
    <n v="15"/>
    <n v="2"/>
    <n v="2024"/>
    <x v="0"/>
  </r>
  <r>
    <s v="CLM-10560"/>
    <d v="2022-09-25T00:00:00"/>
    <d v="2022-10-20T00:00:00"/>
    <d v="2023-09-04T00:00:00"/>
    <n v="84890.42"/>
    <x v="2"/>
    <n v="12"/>
    <n v="1"/>
    <n v="2023"/>
    <x v="0"/>
  </r>
  <r>
    <s v="CLM-10404"/>
    <d v="2021-12-06T00:00:00"/>
    <d v="2022-01-13T00:00:00"/>
    <d v="2022-03-30T00:00:00"/>
    <n v="25960.29"/>
    <x v="1"/>
    <n v="3"/>
    <n v="1"/>
    <n v="2022"/>
    <x v="0"/>
  </r>
  <r>
    <s v="CLM-10258"/>
    <d v="2022-09-21T00:00:00"/>
    <d v="2022-12-07T00:00:00"/>
    <d v="2024-02-14T00:00:00"/>
    <n v="31047.45"/>
    <x v="2"/>
    <n v="17"/>
    <n v="2"/>
    <n v="2024"/>
    <x v="2"/>
  </r>
  <r>
    <s v="CLM-10515"/>
    <d v="2023-11-02T00:00:00"/>
    <d v="2023-12-02T00:00:00"/>
    <d v="2024-10-12T00:00:00"/>
    <n v="84678.68"/>
    <x v="0"/>
    <n v="11"/>
    <n v="1"/>
    <n v="2024"/>
    <x v="0"/>
  </r>
  <r>
    <s v="CLM-10202"/>
    <d v="2022-04-25T00:00:00"/>
    <d v="2022-06-03T00:00:00"/>
    <d v="2023-07-01T00:00:00"/>
    <n v="18274.71"/>
    <x v="2"/>
    <n v="15"/>
    <n v="2"/>
    <n v="2023"/>
    <x v="0"/>
  </r>
  <r>
    <s v="CLM-10035"/>
    <d v="2023-06-12T00:00:00"/>
    <d v="2023-08-11T00:00:00"/>
    <d v="2024-04-16T00:00:00"/>
    <n v="72109.81"/>
    <x v="0"/>
    <n v="10"/>
    <n v="1"/>
    <n v="2024"/>
    <x v="0"/>
  </r>
  <r>
    <s v="CLM-10224"/>
    <d v="2020-11-06T00:00:00"/>
    <d v="2021-01-11T00:00:00"/>
    <d v="2022-10-19T00:00:00"/>
    <n v="56191.34"/>
    <x v="3"/>
    <n v="23"/>
    <n v="2"/>
    <n v="2022"/>
    <x v="2"/>
  </r>
  <r>
    <s v="CLM-10268"/>
    <d v="2023-11-02T00:00:00"/>
    <d v="2023-12-19T00:00:00"/>
    <d v="2023-09-20T00:00:00"/>
    <n v="71722.3"/>
    <x v="0"/>
    <n v="-2"/>
    <n v="0"/>
    <n v="2023"/>
    <x v="1"/>
  </r>
  <r>
    <s v="CLM-10214"/>
    <d v="2020-08-21T00:00:00"/>
    <d v="2020-10-01T00:00:00"/>
    <d v="2021-03-11T00:00:00"/>
    <n v="50598.6"/>
    <x v="3"/>
    <n v="7"/>
    <n v="1"/>
    <n v="2021"/>
    <x v="0"/>
  </r>
  <r>
    <s v="CLM-10576"/>
    <d v="2022-12-16T00:00:00"/>
    <d v="2023-02-17T00:00:00"/>
    <d v="2023-10-28T00:00:00"/>
    <n v="-21437.34"/>
    <x v="2"/>
    <n v="10"/>
    <n v="1"/>
    <n v="2023"/>
    <x v="0"/>
  </r>
  <r>
    <s v="CLM-10056"/>
    <d v="2020-11-30T00:00:00"/>
    <d v="2021-01-08T00:00:00"/>
    <d v="2022-02-10T00:00:00"/>
    <n v="33095.769999999997"/>
    <x v="3"/>
    <n v="15"/>
    <n v="2"/>
    <n v="2022"/>
    <x v="2"/>
  </r>
  <r>
    <s v="CLM-10797"/>
    <d v="2022-07-21T00:00:00"/>
    <d v="2022-08-09T00:00:00"/>
    <d v="2023-02-01T00:00:00"/>
    <n v="82949.94"/>
    <x v="2"/>
    <n v="7"/>
    <n v="1"/>
    <n v="2023"/>
    <x v="0"/>
  </r>
  <r>
    <s v="CLM-10311"/>
    <d v="2020-12-29T00:00:00"/>
    <d v="2021-01-17T00:00:00"/>
    <d v="2022-03-23T00:00:00"/>
    <n v="18898.79"/>
    <x v="3"/>
    <n v="15"/>
    <n v="2"/>
    <n v="2022"/>
    <x v="2"/>
  </r>
  <r>
    <s v="CLM-10150"/>
    <d v="2021-06-20T00:00:00"/>
    <d v="2021-06-25T00:00:00"/>
    <d v="2022-10-24T00:00:00"/>
    <n v="2783.01"/>
    <x v="1"/>
    <n v="16"/>
    <n v="2"/>
    <n v="2022"/>
    <x v="0"/>
  </r>
  <r>
    <s v="CLM-10672"/>
    <d v="2021-07-09T00:00:00"/>
    <d v="2021-08-25T00:00:00"/>
    <d v="2022-07-11T00:00:00"/>
    <n v="15759.73"/>
    <x v="1"/>
    <n v="12"/>
    <n v="1"/>
    <n v="2022"/>
    <x v="0"/>
  </r>
  <r>
    <s v="CLM-10200"/>
    <d v="2020-01-10T00:00:00"/>
    <d v="2020-02-20T00:00:00"/>
    <d v="2020-10-24T00:00:00"/>
    <n v="-5194.6000000000004"/>
    <x v="3"/>
    <n v="9"/>
    <n v="1"/>
    <n v="2020"/>
    <x v="1"/>
  </r>
  <r>
    <s v="CLM-10533"/>
    <d v="2022-07-26T00:00:00"/>
    <d v="2022-07-30T00:00:00"/>
    <d v="2022-09-25T00:00:00"/>
    <n v="83210.880000000005"/>
    <x v="2"/>
    <n v="2"/>
    <n v="1"/>
    <n v="2022"/>
    <x v="1"/>
  </r>
  <r>
    <s v="CLM-10245"/>
    <d v="2024-07-26T00:00:00"/>
    <d v="2024-09-03T00:00:00"/>
    <d v="2025-02-18T00:00:00"/>
    <n v="67371.289999999994"/>
    <x v="4"/>
    <n v="7"/>
    <n v="1"/>
    <n v="2025"/>
    <x v="0"/>
  </r>
  <r>
    <s v="CLM-10198"/>
    <d v="2021-04-17T00:00:00"/>
    <d v="2021-07-06T00:00:00"/>
    <d v="2022-10-27T00:00:00"/>
    <n v="6458.71"/>
    <x v="1"/>
    <n v="18"/>
    <n v="2"/>
    <n v="2022"/>
    <x v="0"/>
  </r>
  <r>
    <s v="CLM-10349"/>
    <d v="2022-02-13T00:00:00"/>
    <d v="2022-03-11T00:00:00"/>
    <d v="2022-09-04T00:00:00"/>
    <n v="6841.98"/>
    <x v="2"/>
    <n v="7"/>
    <n v="1"/>
    <n v="2022"/>
    <x v="1"/>
  </r>
  <r>
    <s v="CLM-10686"/>
    <d v="2023-11-14T00:00:00"/>
    <d v="2024-02-01T00:00:00"/>
    <d v="2024-07-30T00:00:00"/>
    <n v="73595.83"/>
    <x v="0"/>
    <n v="8"/>
    <n v="1"/>
    <n v="2024"/>
    <x v="0"/>
  </r>
  <r>
    <s v="CLM-10058"/>
    <d v="2021-04-10T00:00:00"/>
    <d v="2021-04-27T00:00:00"/>
    <d v="2022-04-14T00:00:00"/>
    <n v="53052.27"/>
    <x v="1"/>
    <n v="12"/>
    <n v="1"/>
    <n v="2022"/>
    <x v="0"/>
  </r>
  <r>
    <s v="CLM-10654"/>
    <d v="2021-12-04T00:00:00"/>
    <d v="2022-01-31T00:00:00"/>
    <d v="2023-05-25T00:00:00"/>
    <n v="57995.51"/>
    <x v="1"/>
    <n v="17"/>
    <n v="2"/>
    <n v="2023"/>
    <x v="2"/>
  </r>
  <r>
    <s v="CLM-10555"/>
    <d v="2022-12-21T00:00:00"/>
    <d v="2023-03-18T00:00:00"/>
    <d v="2023-06-13T00:00:00"/>
    <n v="35412.089999999997"/>
    <x v="2"/>
    <n v="6"/>
    <n v="1"/>
    <n v="2023"/>
    <x v="0"/>
  </r>
  <r>
    <s v="CLM-10731"/>
    <d v="2020-04-05T00:00:00"/>
    <d v="2020-05-31T00:00:00"/>
    <d v="2021-02-16T00:00:00"/>
    <n v="25267.759999999998"/>
    <x v="3"/>
    <n v="10"/>
    <n v="1"/>
    <n v="2021"/>
    <x v="0"/>
  </r>
  <r>
    <s v="CLM-10304"/>
    <d v="2020-11-07T00:00:00"/>
    <d v="2020-11-30T00:00:00"/>
    <d v="2021-06-25T00:00:00"/>
    <n v="22679.5"/>
    <x v="3"/>
    <n v="7"/>
    <n v="1"/>
    <n v="2021"/>
    <x v="0"/>
  </r>
  <r>
    <s v="CLM-10505"/>
    <d v="2021-11-07T00:00:00"/>
    <d v="2022-02-01T00:00:00"/>
    <d v="2023-08-22T00:00:00"/>
    <n v="9400.59"/>
    <x v="1"/>
    <n v="21"/>
    <n v="2"/>
    <n v="2023"/>
    <x v="2"/>
  </r>
  <r>
    <s v="CLM-10661"/>
    <d v="2023-08-14T00:00:00"/>
    <d v="2023-08-18T00:00:00"/>
    <d v="2024-03-16T00:00:00"/>
    <n v="28559.79"/>
    <x v="0"/>
    <n v="7"/>
    <n v="1"/>
    <n v="2024"/>
    <x v="0"/>
  </r>
  <r>
    <s v="CLM-10298"/>
    <d v="2022-05-26T00:00:00"/>
    <d v="2022-07-29T00:00:00"/>
    <d v="2023-06-30T00:00:00"/>
    <n v="47768.21"/>
    <x v="2"/>
    <n v="13"/>
    <n v="2"/>
    <n v="2023"/>
    <x v="0"/>
  </r>
  <r>
    <s v="CLM-10601"/>
    <d v="2021-10-19T00:00:00"/>
    <d v="2021-12-26T00:00:00"/>
    <d v="2022-05-02T00:00:00"/>
    <n v="77860.31"/>
    <x v="1"/>
    <n v="7"/>
    <n v="1"/>
    <n v="2022"/>
    <x v="0"/>
  </r>
  <r>
    <s v="CLM-10553"/>
    <d v="2022-12-07T00:00:00"/>
    <d v="2023-02-16T00:00:00"/>
    <d v="2023-08-09T00:00:00"/>
    <n v="48584.7"/>
    <x v="2"/>
    <n v="8"/>
    <n v="1"/>
    <n v="2023"/>
    <x v="0"/>
  </r>
  <r>
    <s v="CLM-10049"/>
    <d v="2021-03-15T00:00:00"/>
    <d v="2021-06-04T00:00:00"/>
    <d v="2022-01-07T00:00:00"/>
    <n v="23128.11"/>
    <x v="1"/>
    <n v="10"/>
    <n v="1"/>
    <n v="2022"/>
    <x v="0"/>
  </r>
  <r>
    <s v="CLM-10600"/>
    <d v="2022-03-31T00:00:00"/>
    <d v="2022-06-22T00:00:00"/>
    <d v="2022-08-28T00:00:00"/>
    <n v="-3314.98"/>
    <x v="2"/>
    <n v="5"/>
    <n v="1"/>
    <n v="2022"/>
    <x v="1"/>
  </r>
  <r>
    <s v="CLM-10558"/>
    <d v="2021-01-02T00:00:00"/>
    <d v="2021-03-02T00:00:00"/>
    <d v="2021-04-07T00:00:00"/>
    <n v="39829.33"/>
    <x v="1"/>
    <n v="3"/>
    <n v="1"/>
    <n v="2021"/>
    <x v="1"/>
  </r>
  <r>
    <s v="CLM-10399"/>
    <d v="2024-03-13T00:00:00"/>
    <d v="2024-05-31T00:00:00"/>
    <d v="2024-09-27T00:00:00"/>
    <n v="50426.25"/>
    <x v="4"/>
    <n v="6"/>
    <n v="1"/>
    <n v="2024"/>
    <x v="1"/>
  </r>
  <r>
    <s v="CLM-10280"/>
    <d v="2023-02-13T00:00:00"/>
    <d v="2023-04-15T00:00:00"/>
    <d v="2023-12-09T00:00:00"/>
    <n v="37329.78"/>
    <x v="0"/>
    <n v="10"/>
    <n v="1"/>
    <n v="2023"/>
    <x v="1"/>
  </r>
  <r>
    <s v="CLM-10124"/>
    <d v="2023-12-09T00:00:00"/>
    <d v="2024-01-19T00:00:00"/>
    <d v="2024-10-16T00:00:00"/>
    <n v="-16504.89"/>
    <x v="0"/>
    <n v="10"/>
    <n v="1"/>
    <n v="2024"/>
    <x v="0"/>
  </r>
  <r>
    <s v="CLM-10076"/>
    <d v="2023-01-08T00:00:00"/>
    <d v="2023-03-22T00:00:00"/>
    <d v="2023-09-04T00:00:00"/>
    <n v="18957.66"/>
    <x v="0"/>
    <n v="8"/>
    <n v="1"/>
    <n v="2023"/>
    <x v="1"/>
  </r>
  <r>
    <s v="CLM-10621"/>
    <d v="2020-01-13T00:00:00"/>
    <d v="2020-03-06T00:00:00"/>
    <d v="2020-04-29T00:00:00"/>
    <n v="9500.2099999999991"/>
    <x v="3"/>
    <n v="3"/>
    <n v="1"/>
    <n v="2020"/>
    <x v="1"/>
  </r>
  <r>
    <s v="CLM-10204"/>
    <d v="2022-02-15T00:00:00"/>
    <d v="2022-05-14T00:00:00"/>
    <d v="2022-10-31T00:00:00"/>
    <n v="-1706.6"/>
    <x v="2"/>
    <n v="8"/>
    <n v="1"/>
    <n v="2022"/>
    <x v="1"/>
  </r>
  <r>
    <s v="CLM-10433"/>
    <d v="2023-02-26T00:00:00"/>
    <d v="2023-04-18T00:00:00"/>
    <d v="2023-07-12T00:00:00"/>
    <n v="15735.2"/>
    <x v="0"/>
    <n v="5"/>
    <n v="1"/>
    <n v="2023"/>
    <x v="1"/>
  </r>
  <r>
    <s v="CLM-10216"/>
    <d v="2020-12-26T00:00:00"/>
    <d v="2021-01-26T00:00:00"/>
    <d v="2021-08-09T00:00:00"/>
    <n v="68755.240000000005"/>
    <x v="3"/>
    <n v="8"/>
    <n v="1"/>
    <n v="2021"/>
    <x v="0"/>
  </r>
  <r>
    <s v="CLM-10790"/>
    <d v="2024-09-23T00:00:00"/>
    <d v="2024-10-26T00:00:00"/>
    <d v="2025-05-03T00:00:00"/>
    <n v="37740.69"/>
    <x v="4"/>
    <n v="8"/>
    <n v="1"/>
    <n v="2025"/>
    <x v="0"/>
  </r>
  <r>
    <s v="CLM-10146"/>
    <d v="2020-09-10T00:00:00"/>
    <d v="2020-11-21T00:00:00"/>
    <d v="2021-02-15T00:00:00"/>
    <n v="3541.27"/>
    <x v="3"/>
    <n v="5"/>
    <n v="1"/>
    <n v="2021"/>
    <x v="0"/>
  </r>
  <r>
    <s v="CLM-10632"/>
    <d v="2020-11-27T00:00:00"/>
    <d v="2021-02-19T00:00:00"/>
    <d v="2021-06-04T00:00:00"/>
    <n v="69648.63"/>
    <x v="3"/>
    <n v="7"/>
    <n v="1"/>
    <n v="2021"/>
    <x v="0"/>
  </r>
  <r>
    <s v="CLM-10042"/>
    <d v="2020-07-23T00:00:00"/>
    <d v="2020-09-27T00:00:00"/>
    <d v="2021-08-24T00:00:00"/>
    <n v="-19022.759999999998"/>
    <x v="3"/>
    <n v="13"/>
    <n v="2"/>
    <n v="2021"/>
    <x v="0"/>
  </r>
  <r>
    <s v="CLM-10345"/>
    <d v="2024-10-28T00:00:00"/>
    <d v="2024-12-15T00:00:00"/>
    <d v="2025-04-04T00:00:00"/>
    <n v="25902.86"/>
    <x v="4"/>
    <n v="6"/>
    <n v="1"/>
    <n v="2025"/>
    <x v="0"/>
  </r>
  <r>
    <s v="CLM-10037"/>
    <d v="2024-04-03T00:00:00"/>
    <d v="2024-05-26T00:00:00"/>
    <d v="2024-09-02T00:00:00"/>
    <n v="27683.4"/>
    <x v="4"/>
    <n v="5"/>
    <n v="1"/>
    <n v="2024"/>
    <x v="1"/>
  </r>
  <r>
    <s v="CLM-10701"/>
    <d v="2022-06-23T00:00:00"/>
    <d v="2022-08-04T00:00:00"/>
    <d v="2023-03-27T00:00:00"/>
    <n v="5649.55"/>
    <x v="2"/>
    <n v="9"/>
    <n v="1"/>
    <n v="2023"/>
    <x v="0"/>
  </r>
  <r>
    <s v="CLM-10705"/>
    <d v="2021-11-18T00:00:00"/>
    <d v="2022-01-29T00:00:00"/>
    <d v="2022-10-23T00:00:00"/>
    <n v="20127.48"/>
    <x v="1"/>
    <n v="11"/>
    <n v="1"/>
    <n v="2022"/>
    <x v="0"/>
  </r>
  <r>
    <s v="CLM-10161"/>
    <d v="2020-05-28T00:00:00"/>
    <d v="2020-06-29T00:00:00"/>
    <d v="2020-12-10T00:00:00"/>
    <n v="-16523.939999999999"/>
    <x v="3"/>
    <n v="7"/>
    <n v="1"/>
    <n v="2020"/>
    <x v="1"/>
  </r>
  <r>
    <s v="CLM-10417"/>
    <d v="2022-01-24T00:00:00"/>
    <d v="2022-03-03T00:00:00"/>
    <d v="2022-10-31T00:00:00"/>
    <n v="69006.22"/>
    <x v="2"/>
    <n v="9"/>
    <n v="1"/>
    <n v="2022"/>
    <x v="1"/>
  </r>
  <r>
    <s v="CLM-10117"/>
    <d v="2024-11-17T00:00:00"/>
    <m/>
    <d v="2025-03-12T00:00:00"/>
    <n v="6394.29"/>
    <x v="4"/>
    <n v="4"/>
    <n v="1"/>
    <n v="2025"/>
    <x v="0"/>
  </r>
  <r>
    <s v="CLM-10345"/>
    <d v="2024-10-28T00:00:00"/>
    <d v="2024-12-15T00:00:00"/>
    <d v="2025-05-25T00:00:00"/>
    <n v="21563.21"/>
    <x v="4"/>
    <n v="7"/>
    <n v="1"/>
    <n v="2025"/>
    <x v="0"/>
  </r>
  <r>
    <s v="CLM-10373"/>
    <d v="2023-12-04T00:00:00"/>
    <d v="2023-12-18T00:00:00"/>
    <d v="2024-03-09T00:00:00"/>
    <n v="50179.53"/>
    <x v="0"/>
    <n v="3"/>
    <n v="1"/>
    <n v="2024"/>
    <x v="0"/>
  </r>
  <r>
    <s v="CLM-10791"/>
    <d v="2022-01-19T00:00:00"/>
    <d v="2022-01-23T00:00:00"/>
    <d v="2022-11-17T00:00:00"/>
    <n v="33852.339999999997"/>
    <x v="2"/>
    <n v="10"/>
    <n v="1"/>
    <n v="2022"/>
    <x v="1"/>
  </r>
  <r>
    <s v="CLM-10779"/>
    <d v="2023-07-09T00:00:00"/>
    <d v="2023-09-12T00:00:00"/>
    <d v="2024-05-25T00:00:00"/>
    <n v="55705.2"/>
    <x v="0"/>
    <n v="10"/>
    <n v="1"/>
    <n v="2024"/>
    <x v="0"/>
  </r>
  <r>
    <s v="CLM-10392"/>
    <d v="2022-01-10T00:00:00"/>
    <d v="2022-03-09T00:00:00"/>
    <d v="2022-04-08T00:00:00"/>
    <n v="69224.19"/>
    <x v="2"/>
    <n v="3"/>
    <n v="1"/>
    <n v="2022"/>
    <x v="1"/>
  </r>
  <r>
    <s v="CLM-10464"/>
    <d v="2022-09-29T00:00:00"/>
    <d v="2022-11-23T00:00:00"/>
    <d v="2023-01-11T00:00:00"/>
    <n v="47899.23"/>
    <x v="2"/>
    <n v="4"/>
    <n v="1"/>
    <n v="2023"/>
    <x v="0"/>
  </r>
  <r>
    <s v="CLM-10732"/>
    <d v="2024-04-29T00:00:00"/>
    <d v="2024-05-02T00:00:00"/>
    <d v="2024-09-28T00:00:00"/>
    <n v="4581.91"/>
    <x v="4"/>
    <n v="5"/>
    <n v="1"/>
    <n v="2024"/>
    <x v="1"/>
  </r>
  <r>
    <s v="CLM-10377"/>
    <d v="2020-05-25T00:00:00"/>
    <d v="2020-07-25T00:00:00"/>
    <d v="2021-02-15T00:00:00"/>
    <n v="60269.18"/>
    <x v="3"/>
    <n v="9"/>
    <n v="1"/>
    <n v="2021"/>
    <x v="0"/>
  </r>
  <r>
    <s v="CLM-10741"/>
    <d v="2020-03-12T00:00:00"/>
    <d v="2020-05-26T00:00:00"/>
    <d v="2020-09-17T00:00:00"/>
    <n v="6718.79"/>
    <x v="3"/>
    <n v="6"/>
    <n v="1"/>
    <n v="2020"/>
    <x v="1"/>
  </r>
  <r>
    <s v="CLM-10136"/>
    <d v="2024-05-01T00:00:00"/>
    <d v="2024-06-03T00:00:00"/>
    <d v="2024-11-09T00:00:00"/>
    <n v="47500.85"/>
    <x v="4"/>
    <n v="6"/>
    <n v="1"/>
    <n v="2024"/>
    <x v="1"/>
  </r>
  <r>
    <s v="CLM-10682"/>
    <d v="2022-11-29T00:00:00"/>
    <d v="2023-01-04T00:00:00"/>
    <d v="2024-04-26T00:00:00"/>
    <n v="41459.660000000003"/>
    <x v="2"/>
    <n v="17"/>
    <n v="2"/>
    <n v="2024"/>
    <x v="2"/>
  </r>
  <r>
    <s v="CLM-10301"/>
    <d v="2023-08-02T00:00:00"/>
    <d v="2023-09-16T00:00:00"/>
    <d v="2024-12-28T00:00:00"/>
    <n v="7545.37"/>
    <x v="0"/>
    <n v="16"/>
    <n v="2"/>
    <n v="2024"/>
    <x v="0"/>
  </r>
  <r>
    <s v="CLM-10686"/>
    <d v="2023-11-14T00:00:00"/>
    <d v="2024-02-01T00:00:00"/>
    <d v="2025-01-03T00:00:00"/>
    <n v="42953.94"/>
    <x v="0"/>
    <n v="14"/>
    <n v="2"/>
    <n v="2025"/>
    <x v="2"/>
  </r>
  <r>
    <s v="CLM-10335"/>
    <d v="2021-01-30T00:00:00"/>
    <d v="2021-03-14T00:00:00"/>
    <d v="2021-12-14T00:00:00"/>
    <n v="68471.61"/>
    <x v="1"/>
    <n v="11"/>
    <n v="1"/>
    <n v="2021"/>
    <x v="1"/>
  </r>
  <r>
    <s v="CLM-10353"/>
    <d v="2020-04-10T00:00:00"/>
    <d v="2020-07-04T00:00:00"/>
    <d v="2021-05-31T00:00:00"/>
    <n v="-9439.65"/>
    <x v="3"/>
    <n v="13"/>
    <n v="2"/>
    <n v="2021"/>
    <x v="0"/>
  </r>
  <r>
    <s v="CLM-10795"/>
    <d v="2020-01-24T00:00:00"/>
    <d v="2020-03-06T00:00:00"/>
    <d v="2021-04-16T00:00:00"/>
    <n v="-17611.28"/>
    <x v="3"/>
    <n v="15"/>
    <n v="2"/>
    <n v="2021"/>
    <x v="0"/>
  </r>
  <r>
    <s v="CLM-10311"/>
    <d v="2020-12-29T00:00:00"/>
    <d v="2021-01-17T00:00:00"/>
    <d v="2022-01-28T00:00:00"/>
    <n v="3378.51"/>
    <x v="3"/>
    <n v="13"/>
    <n v="2"/>
    <n v="2022"/>
    <x v="2"/>
  </r>
  <r>
    <s v="CLM-10728"/>
    <d v="2021-10-14T00:00:00"/>
    <d v="2021-12-24T00:00:00"/>
    <d v="2022-08-18T00:00:00"/>
    <n v="4955.1099999999997"/>
    <x v="1"/>
    <n v="10"/>
    <n v="1"/>
    <n v="2022"/>
    <x v="0"/>
  </r>
  <r>
    <s v="CLM-10676"/>
    <d v="2023-11-26T00:00:00"/>
    <d v="2024-01-31T00:00:00"/>
    <d v="2024-11-21T00:00:00"/>
    <n v="48574.67"/>
    <x v="0"/>
    <n v="12"/>
    <n v="1"/>
    <n v="2024"/>
    <x v="0"/>
  </r>
  <r>
    <s v="CLM-10200"/>
    <d v="2020-01-10T00:00:00"/>
    <d v="2020-02-20T00:00:00"/>
    <d v="2021-06-06T00:00:00"/>
    <n v="-11126.65"/>
    <x v="3"/>
    <n v="17"/>
    <n v="2"/>
    <n v="2021"/>
    <x v="0"/>
  </r>
  <r>
    <s v="CLM-10043"/>
    <d v="2022-09-09T00:00:00"/>
    <d v="2022-10-08T00:00:00"/>
    <d v="2023-01-28T00:00:00"/>
    <n v="55836.94"/>
    <x v="2"/>
    <n v="4"/>
    <n v="1"/>
    <n v="2023"/>
    <x v="0"/>
  </r>
  <r>
    <s v="CLM-10184"/>
    <d v="2020-12-27T00:00:00"/>
    <d v="2021-01-30T00:00:00"/>
    <d v="2022-04-07T00:00:00"/>
    <n v="29620.82"/>
    <x v="3"/>
    <n v="16"/>
    <n v="2"/>
    <n v="2022"/>
    <x v="2"/>
  </r>
  <r>
    <s v="CLM-10099"/>
    <d v="2022-04-18T00:00:00"/>
    <d v="2022-07-05T00:00:00"/>
    <d v="2023-04-03T00:00:00"/>
    <n v="28011.49"/>
    <x v="2"/>
    <n v="12"/>
    <n v="1"/>
    <n v="2023"/>
    <x v="0"/>
  </r>
  <r>
    <s v="CLM-10037"/>
    <d v="2024-04-03T00:00:00"/>
    <d v="2024-05-26T00:00:00"/>
    <d v="2025-01-13T00:00:00"/>
    <n v="77136.460000000006"/>
    <x v="4"/>
    <n v="9"/>
    <n v="1"/>
    <n v="2025"/>
    <x v="0"/>
  </r>
  <r>
    <s v="CLM-10730"/>
    <d v="2020-03-13T00:00:00"/>
    <d v="2020-03-31T00:00:00"/>
    <d v="2021-06-10T00:00:00"/>
    <n v="44340.44"/>
    <x v="3"/>
    <n v="15"/>
    <n v="2"/>
    <n v="2021"/>
    <x v="0"/>
  </r>
  <r>
    <s v="CLM-10068"/>
    <d v="2024-11-18T00:00:00"/>
    <d v="2024-12-09T00:00:00"/>
    <d v="2025-04-16T00:00:00"/>
    <n v="72742.81"/>
    <x v="4"/>
    <n v="5"/>
    <n v="1"/>
    <n v="2025"/>
    <x v="0"/>
  </r>
  <r>
    <s v="CLM-10385"/>
    <d v="2023-09-23T00:00:00"/>
    <d v="2023-11-26T00:00:00"/>
    <d v="2025-04-21T00:00:00"/>
    <n v="48152.59"/>
    <x v="0"/>
    <n v="19"/>
    <n v="2"/>
    <n v="2025"/>
    <x v="2"/>
  </r>
  <r>
    <s v="CLM-10280"/>
    <d v="2023-02-13T00:00:00"/>
    <d v="2023-04-15T00:00:00"/>
    <d v="2023-06-18T00:00:00"/>
    <n v="63241"/>
    <x v="0"/>
    <n v="4"/>
    <n v="1"/>
    <n v="2023"/>
    <x v="1"/>
  </r>
  <r>
    <s v="CLM-10466"/>
    <d v="2021-04-19T00:00:00"/>
    <d v="2021-05-20T00:00:00"/>
    <d v="2021-07-22T00:00:00"/>
    <n v="55458.39"/>
    <x v="1"/>
    <n v="3"/>
    <n v="1"/>
    <n v="2021"/>
    <x v="1"/>
  </r>
  <r>
    <s v="CLM-10464"/>
    <d v="2022-09-29T00:00:00"/>
    <d v="2022-11-23T00:00:00"/>
    <d v="2023-02-01T00:00:00"/>
    <n v="-15072.55"/>
    <x v="2"/>
    <n v="5"/>
    <n v="1"/>
    <n v="2023"/>
    <x v="0"/>
  </r>
  <r>
    <s v="CLM-10707"/>
    <d v="2020-02-20T00:00:00"/>
    <d v="2020-04-20T00:00:00"/>
    <d v="2020-09-19T00:00:00"/>
    <n v="20406.38"/>
    <x v="3"/>
    <n v="7"/>
    <n v="1"/>
    <n v="2020"/>
    <x v="1"/>
  </r>
  <r>
    <s v="CLM-10529"/>
    <d v="2024-07-06T00:00:00"/>
    <d v="2024-08-15T00:00:00"/>
    <d v="2025-01-05T00:00:00"/>
    <n v="45494.17"/>
    <x v="4"/>
    <n v="6"/>
    <n v="1"/>
    <n v="2025"/>
    <x v="0"/>
  </r>
  <r>
    <s v="CLM-10657"/>
    <d v="2023-02-24T00:00:00"/>
    <d v="2023-05-21T00:00:00"/>
    <d v="2024-04-10T00:00:00"/>
    <n v="45659.4"/>
    <x v="0"/>
    <n v="14"/>
    <n v="2"/>
    <n v="2024"/>
    <x v="0"/>
  </r>
  <r>
    <s v="CLM-10390"/>
    <d v="2024-04-26T00:00:00"/>
    <d v="2024-05-27T00:00:00"/>
    <d v="2024-08-17T00:00:00"/>
    <n v="67853.5"/>
    <x v="4"/>
    <n v="4"/>
    <n v="1"/>
    <n v="2024"/>
    <x v="1"/>
  </r>
  <r>
    <s v="CLM-10709"/>
    <d v="2020-11-01T00:00:00"/>
    <d v="2021-01-16T00:00:00"/>
    <d v="2022-01-20T00:00:00"/>
    <n v="-12692.12"/>
    <x v="3"/>
    <n v="14"/>
    <n v="2"/>
    <n v="2022"/>
    <x v="2"/>
  </r>
  <r>
    <s v="CLM-10416"/>
    <d v="2022-03-28T00:00:00"/>
    <m/>
    <d v="2023-10-15T00:00:00"/>
    <n v="66107.56"/>
    <x v="2"/>
    <n v="19"/>
    <n v="2"/>
    <n v="2023"/>
    <x v="0"/>
  </r>
  <r>
    <s v="CLM-10445"/>
    <d v="2021-07-18T00:00:00"/>
    <d v="2021-08-18T00:00:00"/>
    <d v="2022-08-14T00:00:00"/>
    <n v="33065.65"/>
    <x v="1"/>
    <n v="13"/>
    <n v="2"/>
    <n v="2022"/>
    <x v="0"/>
  </r>
  <r>
    <s v="CLM-10258"/>
    <d v="2022-09-21T00:00:00"/>
    <d v="2022-12-07T00:00:00"/>
    <d v="2023-12-02T00:00:00"/>
    <n v="51507.99"/>
    <x v="2"/>
    <n v="15"/>
    <n v="2"/>
    <n v="2023"/>
    <x v="0"/>
  </r>
  <r>
    <s v="CLM-10558"/>
    <d v="2021-01-02T00:00:00"/>
    <d v="2021-03-02T00:00:00"/>
    <d v="2022-05-27T00:00:00"/>
    <n v="25463.68"/>
    <x v="1"/>
    <n v="16"/>
    <n v="2"/>
    <n v="2022"/>
    <x v="0"/>
  </r>
  <r>
    <s v="CLM-10114"/>
    <d v="2022-11-15T00:00:00"/>
    <d v="2023-01-03T00:00:00"/>
    <d v="2022-10-19T00:00:00"/>
    <n v="46593.58"/>
    <x v="2"/>
    <n v="-1"/>
    <n v="0"/>
    <n v="2022"/>
    <x v="1"/>
  </r>
  <r>
    <s v="CLM-10292"/>
    <d v="2020-04-20T00:00:00"/>
    <d v="2020-05-25T00:00:00"/>
    <d v="2021-09-27T00:00:00"/>
    <n v="26305.49"/>
    <x v="3"/>
    <n v="17"/>
    <n v="2"/>
    <n v="2021"/>
    <x v="0"/>
  </r>
  <r>
    <s v="CLM-10761"/>
    <d v="2022-05-24T00:00:00"/>
    <d v="2022-07-03T00:00:00"/>
    <d v="2022-10-21T00:00:00"/>
    <n v="76935.38"/>
    <x v="2"/>
    <n v="5"/>
    <n v="1"/>
    <n v="2022"/>
    <x v="1"/>
  </r>
  <r>
    <s v="CLM-10572"/>
    <d v="2022-01-05T00:00:00"/>
    <d v="2022-02-10T00:00:00"/>
    <d v="2023-01-13T00:00:00"/>
    <n v="5064.32"/>
    <x v="2"/>
    <n v="12"/>
    <n v="1"/>
    <n v="2023"/>
    <x v="0"/>
  </r>
  <r>
    <s v="CLM-10648"/>
    <d v="2022-06-02T00:00:00"/>
    <d v="2022-07-31T00:00:00"/>
    <d v="2022-11-21T00:00:00"/>
    <n v="14129.5"/>
    <x v="2"/>
    <n v="5"/>
    <n v="1"/>
    <n v="2022"/>
    <x v="1"/>
  </r>
  <r>
    <s v="CLM-10150"/>
    <d v="2021-06-20T00:00:00"/>
    <d v="2021-06-25T00:00:00"/>
    <d v="2022-04-19T00:00:00"/>
    <n v="52772.01"/>
    <x v="1"/>
    <n v="10"/>
    <n v="1"/>
    <n v="2022"/>
    <x v="0"/>
  </r>
  <r>
    <s v="CLM-10774"/>
    <d v="2021-09-02T00:00:00"/>
    <d v="2021-10-07T00:00:00"/>
    <d v="2021-12-01T00:00:00"/>
    <n v="66838.13"/>
    <x v="1"/>
    <n v="3"/>
    <n v="1"/>
    <n v="2021"/>
    <x v="1"/>
  </r>
  <r>
    <s v="CLM-10367"/>
    <d v="2022-01-04T00:00:00"/>
    <d v="2022-03-05T00:00:00"/>
    <d v="2022-07-24T00:00:00"/>
    <n v="63710.98"/>
    <x v="2"/>
    <n v="6"/>
    <n v="1"/>
    <n v="2022"/>
    <x v="1"/>
  </r>
  <r>
    <s v="CLM-10361"/>
    <d v="2024-08-09T00:00:00"/>
    <d v="2024-09-15T00:00:00"/>
    <d v="2025-04-27T00:00:00"/>
    <n v="71819.570000000007"/>
    <x v="4"/>
    <n v="8"/>
    <n v="1"/>
    <n v="2025"/>
    <x v="0"/>
  </r>
  <r>
    <s v="CLM-10402"/>
    <d v="2021-07-28T00:00:00"/>
    <d v="2021-08-09T00:00:00"/>
    <d v="2022-01-22T00:00:00"/>
    <n v="30100.05"/>
    <x v="1"/>
    <n v="6"/>
    <n v="1"/>
    <n v="2022"/>
    <x v="0"/>
  </r>
  <r>
    <s v="CLM-10471"/>
    <d v="2023-07-20T00:00:00"/>
    <d v="2023-07-24T00:00:00"/>
    <d v="2023-07-04T00:00:00"/>
    <n v="23960.17"/>
    <x v="0"/>
    <n v="0"/>
    <n v="0"/>
    <n v="2023"/>
    <x v="1"/>
  </r>
  <r>
    <s v="CLM-10288"/>
    <d v="2022-02-17T00:00:00"/>
    <d v="2022-04-07T00:00:00"/>
    <d v="2022-10-04T00:00:00"/>
    <n v="5805.94"/>
    <x v="2"/>
    <n v="8"/>
    <n v="1"/>
    <n v="2022"/>
    <x v="1"/>
  </r>
  <r>
    <s v="CLM-10109"/>
    <d v="2020-09-29T00:00:00"/>
    <d v="2020-10-24T00:00:00"/>
    <d v="2022-07-27T00:00:00"/>
    <n v="8123.94"/>
    <x v="3"/>
    <n v="22"/>
    <n v="2"/>
    <n v="2022"/>
    <x v="2"/>
  </r>
  <r>
    <s v="CLM-10356"/>
    <d v="2020-02-16T00:00:00"/>
    <d v="2020-03-08T00:00:00"/>
    <d v="2021-05-11T00:00:00"/>
    <n v="41544.39"/>
    <x v="3"/>
    <n v="15"/>
    <n v="2"/>
    <n v="2021"/>
    <x v="0"/>
  </r>
  <r>
    <s v="CLM-10228"/>
    <d v="2020-02-22T00:00:00"/>
    <d v="2020-03-12T00:00:00"/>
    <d v="2020-10-30T00:00:00"/>
    <n v="-22992.720000000001"/>
    <x v="3"/>
    <n v="8"/>
    <n v="1"/>
    <n v="2020"/>
    <x v="1"/>
  </r>
  <r>
    <s v="CLM-10035"/>
    <d v="2023-06-12T00:00:00"/>
    <d v="2023-08-11T00:00:00"/>
    <d v="2023-10-25T00:00:00"/>
    <n v="60427.040000000001"/>
    <x v="0"/>
    <n v="4"/>
    <n v="1"/>
    <n v="2023"/>
    <x v="1"/>
  </r>
  <r>
    <s v="CLM-10042"/>
    <d v="2020-07-23T00:00:00"/>
    <d v="2020-09-27T00:00:00"/>
    <d v="2020-11-29T00:00:00"/>
    <n v="48712.3"/>
    <x v="3"/>
    <n v="4"/>
    <n v="1"/>
    <n v="2020"/>
    <x v="1"/>
  </r>
  <r>
    <s v="CLM-10676"/>
    <d v="2023-11-26T00:00:00"/>
    <d v="2024-01-31T00:00:00"/>
    <d v="2025-03-17T00:00:00"/>
    <n v="9721.15"/>
    <x v="0"/>
    <n v="16"/>
    <n v="2"/>
    <n v="2025"/>
    <x v="2"/>
  </r>
  <r>
    <s v="CLM-10513"/>
    <d v="2020-05-28T00:00:00"/>
    <d v="2020-05-29T00:00:00"/>
    <d v="2020-11-29T00:00:00"/>
    <n v="77431.62"/>
    <x v="3"/>
    <n v="6"/>
    <n v="1"/>
    <n v="2020"/>
    <x v="1"/>
  </r>
  <r>
    <s v="CLM-10605"/>
    <d v="2020-06-29T00:00:00"/>
    <d v="2020-08-08T00:00:00"/>
    <d v="2020-11-25T00:00:00"/>
    <n v="73291.98"/>
    <x v="3"/>
    <n v="5"/>
    <n v="1"/>
    <n v="2020"/>
    <x v="1"/>
  </r>
  <r>
    <s v="CLM-10374"/>
    <d v="2022-01-12T00:00:00"/>
    <d v="2022-02-11T00:00:00"/>
    <d v="2023-04-18T00:00:00"/>
    <n v="83969.14"/>
    <x v="2"/>
    <n v="15"/>
    <n v="2"/>
    <n v="2023"/>
    <x v="0"/>
  </r>
  <r>
    <s v="CLM-10603"/>
    <d v="2022-01-03T00:00:00"/>
    <d v="2022-02-24T00:00:00"/>
    <d v="2023-11-04T00:00:00"/>
    <n v="50759.41"/>
    <x v="2"/>
    <n v="22"/>
    <n v="2"/>
    <n v="2023"/>
    <x v="0"/>
  </r>
  <r>
    <s v="CLM-10770"/>
    <d v="2023-07-08T00:00:00"/>
    <d v="2023-08-18T00:00:00"/>
    <d v="2024-10-16T00:00:00"/>
    <n v="67026.45"/>
    <x v="0"/>
    <n v="15"/>
    <n v="2"/>
    <n v="2024"/>
    <x v="0"/>
  </r>
  <r>
    <s v="CLM-10384"/>
    <d v="2022-07-02T00:00:00"/>
    <d v="2022-08-08T00:00:00"/>
    <d v="2023-08-25T00:00:00"/>
    <n v="73519.39"/>
    <x v="2"/>
    <n v="13"/>
    <n v="2"/>
    <n v="2023"/>
    <x v="0"/>
  </r>
  <r>
    <s v="CLM-10467"/>
    <d v="2020-05-09T00:00:00"/>
    <d v="2020-07-25T00:00:00"/>
    <d v="2020-11-21T00:00:00"/>
    <n v="24231.15"/>
    <x v="3"/>
    <n v="6"/>
    <n v="1"/>
    <n v="2020"/>
    <x v="1"/>
  </r>
  <r>
    <s v="CLM-10092"/>
    <d v="2020-06-15T00:00:00"/>
    <d v="2020-09-08T00:00:00"/>
    <d v="2021-10-13T00:00:00"/>
    <n v="57392.01"/>
    <x v="3"/>
    <n v="16"/>
    <n v="2"/>
    <n v="2021"/>
    <x v="0"/>
  </r>
  <r>
    <s v="CLM-10781"/>
    <d v="2021-12-31T00:00:00"/>
    <d v="2022-01-08T00:00:00"/>
    <d v="2022-09-03T00:00:00"/>
    <n v="24707.919999999998"/>
    <x v="1"/>
    <n v="9"/>
    <n v="1"/>
    <n v="2022"/>
    <x v="0"/>
  </r>
  <r>
    <s v="CLM-10085"/>
    <d v="2021-04-19T00:00:00"/>
    <d v="2021-07-03T00:00:00"/>
    <d v="2022-05-02T00:00:00"/>
    <n v="60728.05"/>
    <x v="1"/>
    <n v="13"/>
    <n v="2"/>
    <n v="2022"/>
    <x v="0"/>
  </r>
  <r>
    <s v="CLM-10621"/>
    <d v="2020-01-13T00:00:00"/>
    <d v="2020-03-06T00:00:00"/>
    <d v="2020-12-04T00:00:00"/>
    <n v="54738.52"/>
    <x v="3"/>
    <n v="11"/>
    <n v="1"/>
    <n v="2020"/>
    <x v="1"/>
  </r>
  <r>
    <s v="CLM-10086"/>
    <d v="2023-08-01T00:00:00"/>
    <d v="2023-10-18T00:00:00"/>
    <d v="2025-03-11T00:00:00"/>
    <n v="57227.66"/>
    <x v="0"/>
    <n v="19"/>
    <n v="2"/>
    <n v="2025"/>
    <x v="2"/>
  </r>
  <r>
    <s v="CLM-10067"/>
    <d v="2021-04-24T00:00:00"/>
    <d v="2021-05-11T00:00:00"/>
    <d v="2021-07-29T00:00:00"/>
    <n v="64538.99"/>
    <x v="1"/>
    <n v="3"/>
    <n v="1"/>
    <n v="2021"/>
    <x v="1"/>
  </r>
  <r>
    <s v="CLM-10101"/>
    <d v="2020-08-29T00:00:00"/>
    <d v="2020-10-25T00:00:00"/>
    <d v="2021-10-25T00:00:00"/>
    <n v="22375.77"/>
    <x v="3"/>
    <n v="14"/>
    <n v="2"/>
    <n v="2021"/>
    <x v="0"/>
  </r>
  <r>
    <s v="CLM-10170"/>
    <d v="2024-03-03T00:00:00"/>
    <d v="2024-04-10T00:00:00"/>
    <d v="2024-09-15T00:00:00"/>
    <n v="64759.02"/>
    <x v="4"/>
    <n v="6"/>
    <n v="1"/>
    <n v="2024"/>
    <x v="1"/>
  </r>
  <r>
    <s v="CLM-10667"/>
    <d v="2024-12-11T00:00:00"/>
    <d v="2025-02-25T00:00:00"/>
    <d v="2025-03-12T00:00:00"/>
    <n v="40586.379999999997"/>
    <x v="4"/>
    <n v="3"/>
    <n v="1"/>
    <n v="2025"/>
    <x v="0"/>
  </r>
  <r>
    <s v="CLM-10123"/>
    <d v="2022-08-08T00:00:00"/>
    <d v="2022-10-14T00:00:00"/>
    <d v="2023-03-10T00:00:00"/>
    <n v="-1315.66"/>
    <x v="2"/>
    <n v="7"/>
    <n v="1"/>
    <n v="2023"/>
    <x v="0"/>
  </r>
  <r>
    <s v="CLM-10027"/>
    <d v="2021-06-20T00:00:00"/>
    <d v="2021-08-27T00:00:00"/>
    <d v="2022-10-30T00:00:00"/>
    <n v="79022.3"/>
    <x v="1"/>
    <n v="16"/>
    <n v="2"/>
    <n v="2022"/>
    <x v="0"/>
  </r>
  <r>
    <s v="CLM-10597"/>
    <d v="2021-08-12T00:00:00"/>
    <d v="2021-09-02T00:00:00"/>
    <d v="2022-08-18T00:00:00"/>
    <n v="18955.78"/>
    <x v="1"/>
    <n v="12"/>
    <n v="1"/>
    <n v="2022"/>
    <x v="0"/>
  </r>
  <r>
    <s v="CLM-10498"/>
    <d v="2021-09-18T00:00:00"/>
    <d v="2021-10-24T00:00:00"/>
    <d v="2022-07-17T00:00:00"/>
    <n v="21576.52"/>
    <x v="1"/>
    <n v="10"/>
    <n v="1"/>
    <n v="2022"/>
    <x v="0"/>
  </r>
  <r>
    <s v="CLM-10186"/>
    <d v="2020-04-14T00:00:00"/>
    <d v="2020-04-30T00:00:00"/>
    <d v="2021-02-21T00:00:00"/>
    <n v="-18478.400000000001"/>
    <x v="3"/>
    <n v="10"/>
    <n v="1"/>
    <n v="2021"/>
    <x v="0"/>
  </r>
  <r>
    <s v="CLM-10235"/>
    <d v="2022-09-19T00:00:00"/>
    <d v="2022-12-14T00:00:00"/>
    <d v="2023-12-15T00:00:00"/>
    <n v="8280.39"/>
    <x v="2"/>
    <n v="15"/>
    <n v="2"/>
    <n v="2023"/>
    <x v="0"/>
  </r>
  <r>
    <s v="CLM-10624"/>
    <d v="2023-03-12T00:00:00"/>
    <d v="2023-04-18T00:00:00"/>
    <d v="2023-10-28T00:00:00"/>
    <n v="38514.03"/>
    <x v="0"/>
    <n v="7"/>
    <n v="1"/>
    <n v="2023"/>
    <x v="1"/>
  </r>
  <r>
    <s v="CLM-10275"/>
    <d v="2023-10-12T00:00:00"/>
    <d v="2023-12-31T00:00:00"/>
    <d v="2024-05-12T00:00:00"/>
    <n v="47225.16"/>
    <x v="0"/>
    <n v="7"/>
    <n v="1"/>
    <n v="2024"/>
    <x v="0"/>
  </r>
  <r>
    <s v="CLM-10467"/>
    <d v="2020-05-09T00:00:00"/>
    <d v="2020-07-25T00:00:00"/>
    <d v="2021-12-09T00:00:00"/>
    <n v="52446.65"/>
    <x v="3"/>
    <n v="19"/>
    <n v="2"/>
    <n v="2021"/>
    <x v="0"/>
  </r>
  <r>
    <s v="CLM-10758"/>
    <d v="2021-01-31T00:00:00"/>
    <d v="2021-03-23T00:00:00"/>
    <d v="2021-07-04T00:00:00"/>
    <n v="9859.24"/>
    <x v="1"/>
    <n v="6"/>
    <n v="1"/>
    <n v="2021"/>
    <x v="1"/>
  </r>
  <r>
    <s v="CLM-10789"/>
    <d v="2024-06-14T00:00:00"/>
    <d v="2024-09-05T00:00:00"/>
    <d v="2025-03-08T00:00:00"/>
    <n v="21434.89"/>
    <x v="4"/>
    <n v="9"/>
    <n v="1"/>
    <n v="2025"/>
    <x v="0"/>
  </r>
  <r>
    <s v="CLM-10044"/>
    <d v="2020-04-01T00:00:00"/>
    <d v="2020-06-10T00:00:00"/>
    <d v="2020-12-17T00:00:00"/>
    <n v="-24904.99"/>
    <x v="3"/>
    <n v="8"/>
    <n v="1"/>
    <n v="2020"/>
    <x v="1"/>
  </r>
  <r>
    <s v="CLM-10498"/>
    <d v="2021-09-18T00:00:00"/>
    <d v="2021-10-24T00:00:00"/>
    <d v="2022-03-07T00:00:00"/>
    <n v="-15916.62"/>
    <x v="1"/>
    <n v="6"/>
    <n v="1"/>
    <n v="2022"/>
    <x v="0"/>
  </r>
  <r>
    <s v="CLM-10703"/>
    <d v="2020-11-03T00:00:00"/>
    <d v="2021-01-20T00:00:00"/>
    <d v="2022-04-16T00:00:00"/>
    <n v="61205.74"/>
    <x v="3"/>
    <n v="17"/>
    <n v="2"/>
    <n v="2022"/>
    <x v="2"/>
  </r>
  <r>
    <s v="CLM-10513"/>
    <d v="2020-05-28T00:00:00"/>
    <d v="2020-05-29T00:00:00"/>
    <d v="2021-07-12T00:00:00"/>
    <n v="16947.52"/>
    <x v="3"/>
    <n v="14"/>
    <n v="2"/>
    <n v="2021"/>
    <x v="0"/>
  </r>
  <r>
    <s v="CLM-10101"/>
    <d v="2020-08-29T00:00:00"/>
    <d v="2020-10-25T00:00:00"/>
    <d v="2021-06-18T00:00:00"/>
    <n v="33399.72"/>
    <x v="3"/>
    <n v="10"/>
    <n v="1"/>
    <n v="2021"/>
    <x v="0"/>
  </r>
  <r>
    <s v="CLM-10729"/>
    <d v="2023-05-19T00:00:00"/>
    <d v="2023-07-10T00:00:00"/>
    <d v="2024-02-23T00:00:00"/>
    <n v="64867.15"/>
    <x v="0"/>
    <n v="9"/>
    <n v="1"/>
    <n v="2024"/>
    <x v="0"/>
  </r>
  <r>
    <s v="CLM-10199"/>
    <d v="2021-11-26T00:00:00"/>
    <m/>
    <d v="2023-08-24T00:00:00"/>
    <n v="12896.26"/>
    <x v="1"/>
    <n v="21"/>
    <n v="2"/>
    <n v="2023"/>
    <x v="2"/>
  </r>
  <r>
    <s v="CLM-10093"/>
    <d v="2020-09-30T00:00:00"/>
    <d v="2020-11-18T00:00:00"/>
    <d v="2021-02-27T00:00:00"/>
    <n v="56429.68"/>
    <x v="3"/>
    <n v="5"/>
    <n v="1"/>
    <n v="2021"/>
    <x v="0"/>
  </r>
  <r>
    <s v="CLM-10075"/>
    <d v="2021-06-20T00:00:00"/>
    <d v="2021-09-11T00:00:00"/>
    <d v="2021-10-10T00:00:00"/>
    <n v="-12424.76"/>
    <x v="1"/>
    <n v="4"/>
    <n v="1"/>
    <n v="2021"/>
    <x v="1"/>
  </r>
  <r>
    <s v="CLM-10793"/>
    <d v="2024-04-10T00:00:00"/>
    <d v="2024-06-19T00:00:00"/>
    <d v="2025-01-10T00:00:00"/>
    <n v="5746.13"/>
    <x v="4"/>
    <n v="9"/>
    <n v="1"/>
    <n v="2025"/>
    <x v="0"/>
  </r>
  <r>
    <s v="CLM-10575"/>
    <d v="2021-05-18T00:00:00"/>
    <d v="2021-06-03T00:00:00"/>
    <d v="2022-02-04T00:00:00"/>
    <n v="20262.16"/>
    <x v="1"/>
    <n v="9"/>
    <n v="1"/>
    <n v="2022"/>
    <x v="0"/>
  </r>
  <r>
    <s v="CLM-10202"/>
    <d v="2022-04-25T00:00:00"/>
    <d v="2022-06-03T00:00:00"/>
    <d v="2023-07-18T00:00:00"/>
    <n v="28070.69"/>
    <x v="2"/>
    <n v="15"/>
    <n v="2"/>
    <n v="2023"/>
    <x v="0"/>
  </r>
  <r>
    <s v="CLM-10033"/>
    <d v="2024-07-15T00:00:00"/>
    <d v="2024-09-22T00:00:00"/>
    <d v="2025-04-17T00:00:00"/>
    <n v="-12147.83"/>
    <x v="4"/>
    <n v="9"/>
    <n v="1"/>
    <n v="2025"/>
    <x v="0"/>
  </r>
  <r>
    <s v="CLM-10095"/>
    <d v="2020-09-01T00:00:00"/>
    <d v="2020-11-10T00:00:00"/>
    <d v="2021-04-21T00:00:00"/>
    <n v="3703.5"/>
    <x v="3"/>
    <n v="7"/>
    <n v="1"/>
    <n v="2021"/>
    <x v="0"/>
  </r>
  <r>
    <s v="CLM-10602"/>
    <d v="2022-12-17T00:00:00"/>
    <d v="2023-02-18T00:00:00"/>
    <d v="2023-04-14T00:00:00"/>
    <n v="75667.070000000007"/>
    <x v="2"/>
    <n v="4"/>
    <n v="1"/>
    <n v="2023"/>
    <x v="0"/>
  </r>
  <r>
    <s v="CLM-10652"/>
    <d v="2023-10-21T00:00:00"/>
    <d v="2023-12-11T00:00:00"/>
    <d v="2024-09-28T00:00:00"/>
    <n v="10949.52"/>
    <x v="0"/>
    <n v="11"/>
    <n v="1"/>
    <n v="2024"/>
    <x v="0"/>
  </r>
  <r>
    <s v="CLM-10311"/>
    <d v="2020-12-29T00:00:00"/>
    <d v="2021-01-17T00:00:00"/>
    <d v="2022-10-06T00:00:00"/>
    <n v="62702.85"/>
    <x v="3"/>
    <n v="22"/>
    <n v="2"/>
    <n v="2022"/>
    <x v="2"/>
  </r>
  <r>
    <s v="CLM-10630"/>
    <d v="2023-01-27T00:00:00"/>
    <m/>
    <d v="2024-03-08T00:00:00"/>
    <n v="22020.32"/>
    <x v="0"/>
    <n v="14"/>
    <n v="2"/>
    <n v="2024"/>
    <x v="0"/>
  </r>
  <r>
    <s v="CLM-10065"/>
    <d v="2023-05-05T00:00:00"/>
    <d v="2023-07-30T00:00:00"/>
    <d v="2024-09-30T00:00:00"/>
    <n v="18171.990000000002"/>
    <x v="0"/>
    <n v="16"/>
    <n v="2"/>
    <n v="2024"/>
    <x v="0"/>
  </r>
  <r>
    <s v="CLM-10524"/>
    <d v="2021-07-10T00:00:00"/>
    <d v="2021-08-06T00:00:00"/>
    <d v="2022-08-13T00:00:00"/>
    <n v="81482.460000000006"/>
    <x v="1"/>
    <n v="13"/>
    <n v="2"/>
    <n v="2022"/>
    <x v="0"/>
  </r>
  <r>
    <s v="CLM-10230"/>
    <d v="2020-09-27T00:00:00"/>
    <d v="2020-11-09T00:00:00"/>
    <d v="2021-12-13T00:00:00"/>
    <n v="52284.67"/>
    <x v="3"/>
    <n v="15"/>
    <n v="2"/>
    <n v="2021"/>
    <x v="0"/>
  </r>
  <r>
    <s v="CLM-10043"/>
    <d v="2022-09-09T00:00:00"/>
    <d v="2022-10-08T00:00:00"/>
    <d v="2023-12-05T00:00:00"/>
    <n v="3478.46"/>
    <x v="2"/>
    <n v="15"/>
    <n v="2"/>
    <n v="2023"/>
    <x v="0"/>
  </r>
  <r>
    <s v="CLM-10469"/>
    <d v="2020-08-18T00:00:00"/>
    <d v="2020-10-31T00:00:00"/>
    <d v="2020-12-16T00:00:00"/>
    <n v="-21741.83"/>
    <x v="3"/>
    <n v="4"/>
    <n v="1"/>
    <n v="2020"/>
    <x v="1"/>
  </r>
  <r>
    <s v="CLM-10362"/>
    <d v="2022-08-27T00:00:00"/>
    <d v="2022-11-24T00:00:00"/>
    <d v="2023-04-13T00:00:00"/>
    <n v="33970.78"/>
    <x v="2"/>
    <n v="8"/>
    <n v="1"/>
    <n v="2023"/>
    <x v="0"/>
  </r>
  <r>
    <s v="CLM-10338"/>
    <d v="2021-07-24T00:00:00"/>
    <d v="2021-08-15T00:00:00"/>
    <d v="2022-02-02T00:00:00"/>
    <n v="-18538.25"/>
    <x v="1"/>
    <n v="7"/>
    <n v="1"/>
    <n v="2022"/>
    <x v="0"/>
  </r>
  <r>
    <s v="CLM-10215"/>
    <d v="2022-05-18T00:00:00"/>
    <d v="2022-06-05T00:00:00"/>
    <d v="2022-10-08T00:00:00"/>
    <n v="83966.47"/>
    <x v="2"/>
    <n v="5"/>
    <n v="1"/>
    <n v="2022"/>
    <x v="1"/>
  </r>
  <r>
    <s v="CLM-10266"/>
    <d v="2022-06-30T00:00:00"/>
    <d v="2022-08-20T00:00:00"/>
    <d v="2023-03-29T00:00:00"/>
    <n v="13364.66"/>
    <x v="2"/>
    <n v="9"/>
    <n v="1"/>
    <n v="2023"/>
    <x v="0"/>
  </r>
  <r>
    <s v="CLM-10719"/>
    <d v="2021-10-22T00:00:00"/>
    <d v="2021-12-19T00:00:00"/>
    <d v="2022-02-11T00:00:00"/>
    <n v="80703.53"/>
    <x v="1"/>
    <n v="4"/>
    <n v="1"/>
    <n v="2022"/>
    <x v="0"/>
  </r>
  <r>
    <s v="CLM-10259"/>
    <d v="2022-04-20T00:00:00"/>
    <d v="2022-06-24T00:00:00"/>
    <d v="2022-07-24T00:00:00"/>
    <n v="59585.69"/>
    <x v="2"/>
    <n v="3"/>
    <n v="1"/>
    <n v="2022"/>
    <x v="1"/>
  </r>
  <r>
    <s v="CLM-10560"/>
    <d v="2022-09-25T00:00:00"/>
    <d v="2022-10-20T00:00:00"/>
    <d v="2023-03-29T00:00:00"/>
    <n v="70274.559999999998"/>
    <x v="2"/>
    <n v="6"/>
    <n v="1"/>
    <n v="2023"/>
    <x v="0"/>
  </r>
  <r>
    <s v="CLM-10534"/>
    <d v="2021-04-08T00:00:00"/>
    <d v="2021-04-10T00:00:00"/>
    <d v="2021-05-07T00:00:00"/>
    <n v="64794.720000000001"/>
    <x v="1"/>
    <n v="1"/>
    <n v="1"/>
    <n v="2021"/>
    <x v="1"/>
  </r>
  <r>
    <s v="CLM-10664"/>
    <d v="2022-09-26T00:00:00"/>
    <d v="2022-10-13T00:00:00"/>
    <d v="2023-10-20T00:00:00"/>
    <n v="26580.880000000001"/>
    <x v="2"/>
    <n v="13"/>
    <n v="2"/>
    <n v="2023"/>
    <x v="0"/>
  </r>
  <r>
    <s v="CLM-10308"/>
    <d v="2023-06-13T00:00:00"/>
    <d v="2023-08-18T00:00:00"/>
    <d v="2023-12-19T00:00:00"/>
    <n v="-4659.67"/>
    <x v="0"/>
    <n v="6"/>
    <n v="1"/>
    <n v="2023"/>
    <x v="1"/>
  </r>
  <r>
    <s v="CLM-10289"/>
    <d v="2021-10-20T00:00:00"/>
    <d v="2021-12-22T00:00:00"/>
    <d v="2022-10-25T00:00:00"/>
    <n v="52637.42"/>
    <x v="1"/>
    <n v="12"/>
    <n v="1"/>
    <n v="2022"/>
    <x v="0"/>
  </r>
  <r>
    <s v="CLM-10684"/>
    <d v="2022-05-06T00:00:00"/>
    <d v="2022-06-26T00:00:00"/>
    <d v="2023-07-22T00:00:00"/>
    <n v="47594.6"/>
    <x v="2"/>
    <n v="14"/>
    <n v="2"/>
    <n v="2023"/>
    <x v="0"/>
  </r>
  <r>
    <s v="CLM-10561"/>
    <d v="2024-06-15T00:00:00"/>
    <d v="2024-09-04T00:00:00"/>
    <d v="2025-03-20T00:00:00"/>
    <n v="26566.36"/>
    <x v="4"/>
    <n v="9"/>
    <n v="1"/>
    <n v="2025"/>
    <x v="0"/>
  </r>
  <r>
    <s v="CLM-10138"/>
    <d v="2023-02-27T00:00:00"/>
    <d v="2023-05-07T00:00:00"/>
    <d v="2024-05-03T00:00:00"/>
    <n v="12511.31"/>
    <x v="0"/>
    <n v="15"/>
    <n v="2"/>
    <n v="2024"/>
    <x v="0"/>
  </r>
  <r>
    <s v="CLM-10782"/>
    <d v="2023-12-30T00:00:00"/>
    <d v="2024-01-19T00:00:00"/>
    <d v="2024-09-20T00:00:00"/>
    <n v="-6901.12"/>
    <x v="0"/>
    <n v="9"/>
    <n v="1"/>
    <n v="2024"/>
    <x v="0"/>
  </r>
  <r>
    <s v="CLM-10284"/>
    <d v="2023-06-03T00:00:00"/>
    <d v="2023-06-13T00:00:00"/>
    <d v="2023-11-22T00:00:00"/>
    <n v="55217.279999999999"/>
    <x v="0"/>
    <n v="5"/>
    <n v="1"/>
    <n v="2023"/>
    <x v="1"/>
  </r>
  <r>
    <s v="CLM-10205"/>
    <d v="2020-05-07T00:00:00"/>
    <d v="2020-05-31T00:00:00"/>
    <d v="2021-09-24T00:00:00"/>
    <n v="15267.47"/>
    <x v="3"/>
    <n v="16"/>
    <n v="2"/>
    <n v="2021"/>
    <x v="0"/>
  </r>
  <r>
    <s v="CLM-10795"/>
    <d v="2020-01-24T00:00:00"/>
    <d v="2020-03-06T00:00:00"/>
    <d v="2021-01-27T00:00:00"/>
    <n v="43766.44"/>
    <x v="3"/>
    <n v="12"/>
    <n v="1"/>
    <n v="2021"/>
    <x v="0"/>
  </r>
  <r>
    <s v="CLM-10665"/>
    <d v="2020-10-22T00:00:00"/>
    <d v="2020-12-05T00:00:00"/>
    <d v="2022-08-15T00:00:00"/>
    <n v="62793.52"/>
    <x v="3"/>
    <n v="22"/>
    <n v="2"/>
    <n v="2022"/>
    <x v="2"/>
  </r>
  <r>
    <s v="CLM-10516"/>
    <d v="2020-10-13T00:00:00"/>
    <d v="2020-10-21T00:00:00"/>
    <d v="2021-03-04T00:00:00"/>
    <n v="48792.65"/>
    <x v="3"/>
    <n v="5"/>
    <n v="1"/>
    <n v="2021"/>
    <x v="0"/>
  </r>
  <r>
    <s v="CLM-10478"/>
    <d v="2020-09-23T00:00:00"/>
    <d v="2020-12-14T00:00:00"/>
    <d v="2022-04-17T00:00:00"/>
    <n v="46850.74"/>
    <x v="3"/>
    <n v="19"/>
    <n v="2"/>
    <n v="2022"/>
    <x v="2"/>
  </r>
  <r>
    <s v="CLM-10349"/>
    <d v="2022-02-13T00:00:00"/>
    <d v="2022-03-11T00:00:00"/>
    <d v="2022-10-08T00:00:00"/>
    <n v="26316.6"/>
    <x v="2"/>
    <n v="8"/>
    <n v="1"/>
    <n v="2022"/>
    <x v="1"/>
  </r>
  <r>
    <s v="CLM-10135"/>
    <d v="2024-09-02T00:00:00"/>
    <d v="2024-09-14T00:00:00"/>
    <d v="2024-12-15T00:00:00"/>
    <n v="51288.61"/>
    <x v="4"/>
    <n v="3"/>
    <n v="1"/>
    <n v="2024"/>
    <x v="1"/>
  </r>
  <r>
    <s v="CLM-10330"/>
    <d v="2021-09-09T00:00:00"/>
    <d v="2021-10-11T00:00:00"/>
    <d v="2022-05-02T00:00:00"/>
    <n v="65970.02"/>
    <x v="1"/>
    <n v="8"/>
    <n v="1"/>
    <n v="2022"/>
    <x v="0"/>
  </r>
  <r>
    <s v="CLM-10752"/>
    <d v="2021-01-26T00:00:00"/>
    <d v="2021-03-05T00:00:00"/>
    <d v="2021-04-08T00:00:00"/>
    <n v="67662.64"/>
    <x v="1"/>
    <n v="3"/>
    <n v="1"/>
    <n v="2021"/>
    <x v="1"/>
  </r>
  <r>
    <s v="CLM-10562"/>
    <d v="2021-06-21T00:00:00"/>
    <m/>
    <d v="2021-10-06T00:00:00"/>
    <n v="44467.53"/>
    <x v="1"/>
    <n v="4"/>
    <n v="1"/>
    <n v="2021"/>
    <x v="1"/>
  </r>
  <r>
    <s v="CLM-10683"/>
    <d v="2021-08-10T00:00:00"/>
    <d v="2021-09-20T00:00:00"/>
    <d v="2021-11-08T00:00:00"/>
    <n v="36286.89"/>
    <x v="1"/>
    <n v="3"/>
    <n v="1"/>
    <n v="2021"/>
    <x v="1"/>
  </r>
  <r>
    <s v="CLM-10533"/>
    <d v="2022-07-26T00:00:00"/>
    <d v="2022-07-30T00:00:00"/>
    <d v="2023-01-08T00:00:00"/>
    <n v="40375.57"/>
    <x v="2"/>
    <n v="6"/>
    <n v="1"/>
    <n v="2023"/>
    <x v="0"/>
  </r>
  <r>
    <s v="CLM-10682"/>
    <d v="2022-11-29T00:00:00"/>
    <d v="2023-01-04T00:00:00"/>
    <d v="2023-07-17T00:00:00"/>
    <n v="29950.959999999999"/>
    <x v="2"/>
    <n v="8"/>
    <n v="1"/>
    <n v="2023"/>
    <x v="0"/>
  </r>
  <r>
    <s v="CLM-10522"/>
    <d v="2021-11-26T00:00:00"/>
    <d v="2022-01-07T00:00:00"/>
    <d v="2022-06-25T00:00:00"/>
    <n v="20041.990000000002"/>
    <x v="1"/>
    <n v="7"/>
    <n v="1"/>
    <n v="2022"/>
    <x v="0"/>
  </r>
  <r>
    <s v="CLM-10398"/>
    <d v="2022-12-11T00:00:00"/>
    <d v="2023-02-27T00:00:00"/>
    <d v="2024-01-14T00:00:00"/>
    <n v="66639.789999999994"/>
    <x v="2"/>
    <n v="13"/>
    <n v="2"/>
    <n v="2024"/>
    <x v="2"/>
  </r>
  <r>
    <s v="CLM-10395"/>
    <d v="2021-10-04T00:00:00"/>
    <d v="2021-12-29T00:00:00"/>
    <d v="2022-05-02T00:00:00"/>
    <n v="-10546.04"/>
    <x v="1"/>
    <n v="7"/>
    <n v="1"/>
    <n v="2022"/>
    <x v="0"/>
  </r>
  <r>
    <s v="CLM-10142"/>
    <d v="2021-02-14T00:00:00"/>
    <d v="2021-04-15T00:00:00"/>
    <d v="2021-12-14T00:00:00"/>
    <n v="30500.080000000002"/>
    <x v="1"/>
    <n v="10"/>
    <n v="1"/>
    <n v="2021"/>
    <x v="1"/>
  </r>
  <r>
    <s v="CLM-10731"/>
    <d v="2020-04-05T00:00:00"/>
    <d v="2020-05-31T00:00:00"/>
    <d v="2022-04-12T00:00:00"/>
    <n v="46777.84"/>
    <x v="3"/>
    <n v="24"/>
    <n v="2"/>
    <n v="2022"/>
    <x v="2"/>
  </r>
  <r>
    <s v="CLM-10568"/>
    <d v="2023-03-22T00:00:00"/>
    <d v="2023-04-04T00:00:00"/>
    <d v="2023-08-21T00:00:00"/>
    <n v="84405.26"/>
    <x v="0"/>
    <n v="5"/>
    <n v="1"/>
    <n v="2023"/>
    <x v="1"/>
  </r>
  <r>
    <s v="CLM-10413"/>
    <d v="2022-01-25T00:00:00"/>
    <d v="2022-02-14T00:00:00"/>
    <d v="2022-07-24T00:00:00"/>
    <n v="70328.33"/>
    <x v="2"/>
    <n v="6"/>
    <n v="1"/>
    <n v="2022"/>
    <x v="1"/>
  </r>
  <r>
    <s v="CLM-10701"/>
    <d v="2022-06-23T00:00:00"/>
    <d v="2022-08-04T00:00:00"/>
    <d v="2022-11-23T00:00:00"/>
    <n v="64885.56"/>
    <x v="2"/>
    <n v="5"/>
    <n v="1"/>
    <n v="2022"/>
    <x v="1"/>
  </r>
  <r>
    <s v="CLM-10198"/>
    <d v="2021-04-17T00:00:00"/>
    <d v="2021-07-06T00:00:00"/>
    <d v="2021-11-14T00:00:00"/>
    <n v="69731.649999999994"/>
    <x v="1"/>
    <n v="7"/>
    <n v="1"/>
    <n v="2021"/>
    <x v="1"/>
  </r>
  <r>
    <s v="CLM-10247"/>
    <d v="2023-06-10T00:00:00"/>
    <d v="2023-09-03T00:00:00"/>
    <d v="2024-04-20T00:00:00"/>
    <n v="78919.87"/>
    <x v="0"/>
    <n v="10"/>
    <n v="1"/>
    <n v="2024"/>
    <x v="0"/>
  </r>
  <r>
    <s v="CLM-10290"/>
    <d v="2024-01-22T00:00:00"/>
    <d v="2024-02-13T00:00:00"/>
    <d v="2025-01-08T00:00:00"/>
    <n v="6834.68"/>
    <x v="4"/>
    <n v="12"/>
    <n v="1"/>
    <n v="2025"/>
    <x v="0"/>
  </r>
  <r>
    <s v="CLM-10526"/>
    <d v="2023-03-12T00:00:00"/>
    <d v="2023-05-29T00:00:00"/>
    <d v="2023-08-07T00:00:00"/>
    <n v="65836.78"/>
    <x v="0"/>
    <n v="5"/>
    <n v="1"/>
    <n v="2023"/>
    <x v="1"/>
  </r>
  <r>
    <s v="CLM-10525"/>
    <d v="2020-01-15T00:00:00"/>
    <d v="2020-02-13T00:00:00"/>
    <d v="2020-09-27T00:00:00"/>
    <n v="42358.58"/>
    <x v="3"/>
    <n v="8"/>
    <n v="1"/>
    <n v="2020"/>
    <x v="1"/>
  </r>
  <r>
    <s v="CLM-10440"/>
    <d v="2020-11-24T00:00:00"/>
    <d v="2021-01-09T00:00:00"/>
    <d v="2021-06-04T00:00:00"/>
    <n v="50404.56"/>
    <x v="3"/>
    <n v="7"/>
    <n v="1"/>
    <n v="2021"/>
    <x v="0"/>
  </r>
  <r>
    <s v="CLM-10527"/>
    <d v="2020-04-29T00:00:00"/>
    <d v="2020-06-28T00:00:00"/>
    <d v="2021-07-07T00:00:00"/>
    <n v="-7529.3"/>
    <x v="3"/>
    <n v="15"/>
    <n v="2"/>
    <n v="2021"/>
    <x v="0"/>
  </r>
  <r>
    <s v="CLM-10233"/>
    <d v="2020-07-08T00:00:00"/>
    <d v="2020-08-20T00:00:00"/>
    <d v="2021-12-24T00:00:00"/>
    <n v="51442.43"/>
    <x v="3"/>
    <n v="17"/>
    <n v="2"/>
    <n v="2021"/>
    <x v="0"/>
  </r>
  <r>
    <s v="CLM-10558"/>
    <d v="2021-01-02T00:00:00"/>
    <d v="2021-03-02T00:00:00"/>
    <d v="2021-10-11T00:00:00"/>
    <n v="74938.100000000006"/>
    <x v="1"/>
    <n v="9"/>
    <n v="1"/>
    <n v="2021"/>
    <x v="1"/>
  </r>
  <r>
    <s v="CLM-10408"/>
    <d v="2020-04-25T00:00:00"/>
    <d v="2020-07-07T00:00:00"/>
    <d v="2021-09-24T00:00:00"/>
    <n v="69692.41"/>
    <x v="3"/>
    <n v="17"/>
    <n v="2"/>
    <n v="2021"/>
    <x v="0"/>
  </r>
  <r>
    <s v="CLM-10344"/>
    <d v="2024-03-30T00:00:00"/>
    <m/>
    <d v="2024-08-10T00:00:00"/>
    <n v="42489.04"/>
    <x v="4"/>
    <n v="5"/>
    <n v="1"/>
    <n v="2024"/>
    <x v="1"/>
  </r>
  <r>
    <s v="CLM-10365"/>
    <d v="2021-08-01T00:00:00"/>
    <d v="2021-08-17T00:00:00"/>
    <d v="2022-03-17T00:00:00"/>
    <n v="33141.410000000003"/>
    <x v="1"/>
    <n v="7"/>
    <n v="1"/>
    <n v="2022"/>
    <x v="0"/>
  </r>
  <r>
    <s v="CLM-10198"/>
    <d v="2021-04-17T00:00:00"/>
    <d v="2021-07-06T00:00:00"/>
    <d v="2022-11-15T00:00:00"/>
    <n v="17318.189999999999"/>
    <x v="1"/>
    <n v="19"/>
    <n v="2"/>
    <n v="2022"/>
    <x v="0"/>
  </r>
  <r>
    <s v="CLM-10627"/>
    <d v="2024-08-02T00:00:00"/>
    <d v="2024-09-09T00:00:00"/>
    <d v="2024-11-04T00:00:00"/>
    <n v="32569.919999999998"/>
    <x v="4"/>
    <n v="3"/>
    <n v="1"/>
    <n v="2024"/>
    <x v="1"/>
  </r>
  <r>
    <s v="CLM-10712"/>
    <d v="2021-04-08T00:00:00"/>
    <d v="2021-04-18T00:00:00"/>
    <d v="2021-07-15T00:00:00"/>
    <n v="27995.49"/>
    <x v="1"/>
    <n v="3"/>
    <n v="1"/>
    <n v="2021"/>
    <x v="1"/>
  </r>
  <r>
    <s v="CLM-10495"/>
    <d v="2020-05-14T00:00:00"/>
    <d v="2020-08-08T00:00:00"/>
    <d v="2021-12-12T00:00:00"/>
    <n v="-14998.37"/>
    <x v="3"/>
    <n v="19"/>
    <n v="2"/>
    <n v="2021"/>
    <x v="0"/>
  </r>
  <r>
    <s v="CLM-10057"/>
    <d v="2020-05-31T00:00:00"/>
    <d v="2020-06-23T00:00:00"/>
    <d v="2021-01-13T00:00:00"/>
    <n v="26811.8"/>
    <x v="3"/>
    <n v="8"/>
    <n v="1"/>
    <n v="2021"/>
    <x v="0"/>
  </r>
  <r>
    <s v="CLM-10074"/>
    <d v="2022-05-14T00:00:00"/>
    <d v="2022-06-22T00:00:00"/>
    <d v="2022-09-03T00:00:00"/>
    <n v="58203.95"/>
    <x v="2"/>
    <n v="4"/>
    <n v="1"/>
    <n v="2022"/>
    <x v="1"/>
  </r>
  <r>
    <s v="CLM-10773"/>
    <d v="2021-06-28T00:00:00"/>
    <d v="2021-09-03T00:00:00"/>
    <d v="2022-06-04T00:00:00"/>
    <n v="73191.38"/>
    <x v="1"/>
    <n v="12"/>
    <n v="1"/>
    <n v="2022"/>
    <x v="0"/>
  </r>
  <r>
    <s v="CLM-10167"/>
    <d v="2023-01-05T00:00:00"/>
    <d v="2023-02-25T00:00:00"/>
    <d v="2023-04-01T00:00:00"/>
    <n v="18060.68"/>
    <x v="0"/>
    <n v="3"/>
    <n v="1"/>
    <n v="2023"/>
    <x v="1"/>
  </r>
  <r>
    <s v="CLM-10006"/>
    <d v="2024-06-27T00:00:00"/>
    <d v="2024-08-13T00:00:00"/>
    <d v="2025-05-01T00:00:00"/>
    <n v="42184.78"/>
    <x v="4"/>
    <n v="11"/>
    <n v="1"/>
    <n v="2025"/>
    <x v="0"/>
  </r>
  <r>
    <s v="CLM-10452"/>
    <d v="2024-01-17T00:00:00"/>
    <d v="2024-03-27T00:00:00"/>
    <d v="2024-11-23T00:00:00"/>
    <n v="-7512.46"/>
    <x v="4"/>
    <n v="10"/>
    <n v="1"/>
    <n v="2024"/>
    <x v="1"/>
  </r>
  <r>
    <s v="CLM-10009"/>
    <d v="2022-02-22T00:00:00"/>
    <d v="2022-03-08T00:00:00"/>
    <d v="2023-03-27T00:00:00"/>
    <n v="55382.93"/>
    <x v="2"/>
    <n v="13"/>
    <n v="2"/>
    <n v="2023"/>
    <x v="0"/>
  </r>
  <r>
    <s v="CLM-10304"/>
    <d v="2020-11-07T00:00:00"/>
    <d v="2020-11-30T00:00:00"/>
    <d v="2021-09-09T00:00:00"/>
    <n v="-20938.189999999999"/>
    <x v="3"/>
    <n v="10"/>
    <n v="1"/>
    <n v="2021"/>
    <x v="0"/>
  </r>
  <r>
    <s v="CLM-10226"/>
    <d v="2023-06-04T00:00:00"/>
    <d v="2023-08-16T00:00:00"/>
    <d v="2024-02-22T00:00:00"/>
    <n v="52541.07"/>
    <x v="0"/>
    <n v="8"/>
    <n v="1"/>
    <n v="2024"/>
    <x v="0"/>
  </r>
  <r>
    <s v="CLM-10021"/>
    <d v="2021-03-18T00:00:00"/>
    <d v="2021-05-16T00:00:00"/>
    <d v="2022-09-16T00:00:00"/>
    <n v="35545.870000000003"/>
    <x v="1"/>
    <n v="18"/>
    <n v="2"/>
    <n v="2022"/>
    <x v="0"/>
  </r>
  <r>
    <s v="CLM-10688"/>
    <d v="2020-01-02T00:00:00"/>
    <d v="2020-02-21T00:00:00"/>
    <d v="2021-09-02T00:00:00"/>
    <n v="72725.7"/>
    <x v="3"/>
    <n v="20"/>
    <n v="2"/>
    <n v="2021"/>
    <x v="0"/>
  </r>
  <r>
    <s v="CLM-10483"/>
    <d v="2021-02-16T00:00:00"/>
    <d v="2021-03-07T00:00:00"/>
    <d v="2021-10-03T00:00:00"/>
    <n v="15147.11"/>
    <x v="1"/>
    <n v="8"/>
    <n v="1"/>
    <n v="2021"/>
    <x v="1"/>
  </r>
  <r>
    <s v="CLM-10721"/>
    <d v="2022-05-11T00:00:00"/>
    <m/>
    <d v="2023-09-12T00:00:00"/>
    <n v="-465199.11"/>
    <x v="2"/>
    <n v="16"/>
    <n v="2"/>
    <n v="2023"/>
    <x v="0"/>
  </r>
  <r>
    <s v="CLM-10057"/>
    <d v="2020-05-31T00:00:00"/>
    <d v="2020-06-23T00:00:00"/>
    <d v="2021-02-28T00:00:00"/>
    <n v="72955.929999999993"/>
    <x v="3"/>
    <n v="9"/>
    <n v="1"/>
    <n v="2021"/>
    <x v="0"/>
  </r>
  <r>
    <s v="CLM-10128"/>
    <d v="2022-01-16T00:00:00"/>
    <d v="2022-01-26T00:00:00"/>
    <d v="2022-11-12T00:00:00"/>
    <n v="80710.11"/>
    <x v="2"/>
    <n v="10"/>
    <n v="1"/>
    <n v="2022"/>
    <x v="1"/>
  </r>
  <r>
    <s v="CLM-10113"/>
    <d v="2020-02-04T00:00:00"/>
    <d v="2020-04-04T00:00:00"/>
    <d v="2021-02-22T00:00:00"/>
    <n v="75138.350000000006"/>
    <x v="3"/>
    <n v="12"/>
    <n v="1"/>
    <n v="2021"/>
    <x v="0"/>
  </r>
  <r>
    <s v="CLM-10081"/>
    <d v="2022-03-12T00:00:00"/>
    <d v="2022-03-30T00:00:00"/>
    <d v="2022-07-23T00:00:00"/>
    <n v="66465.210000000006"/>
    <x v="2"/>
    <n v="4"/>
    <n v="1"/>
    <n v="2022"/>
    <x v="1"/>
  </r>
  <r>
    <s v="CLM-10124"/>
    <d v="2023-12-09T00:00:00"/>
    <d v="2024-01-19T00:00:00"/>
    <d v="2024-06-11T00:00:00"/>
    <n v="21561.26"/>
    <x v="0"/>
    <n v="6"/>
    <n v="1"/>
    <n v="2024"/>
    <x v="0"/>
  </r>
  <r>
    <s v="CLM-10651"/>
    <d v="2023-02-21T00:00:00"/>
    <d v="2023-04-08T00:00:00"/>
    <d v="2023-09-29T00:00:00"/>
    <n v="24457.94"/>
    <x v="0"/>
    <n v="7"/>
    <n v="1"/>
    <n v="2023"/>
    <x v="1"/>
  </r>
  <r>
    <s v="CLM-10481"/>
    <d v="2021-01-06T00:00:00"/>
    <d v="2021-02-20T00:00:00"/>
    <d v="2021-10-27T00:00:00"/>
    <n v="2567.2600000000002"/>
    <x v="1"/>
    <n v="9"/>
    <n v="1"/>
    <n v="2021"/>
    <x v="1"/>
  </r>
  <r>
    <s v="CLM-10295"/>
    <d v="2020-09-24T00:00:00"/>
    <d v="2020-10-28T00:00:00"/>
    <d v="2021-12-20T00:00:00"/>
    <n v="70426.14"/>
    <x v="3"/>
    <n v="15"/>
    <n v="2"/>
    <n v="2021"/>
    <x v="0"/>
  </r>
  <r>
    <s v="CLM-10626"/>
    <d v="2023-01-05T00:00:00"/>
    <m/>
    <d v="2023-07-18T00:00:00"/>
    <n v="63600.72"/>
    <x v="0"/>
    <n v="6"/>
    <n v="1"/>
    <n v="2023"/>
    <x v="1"/>
  </r>
  <r>
    <s v="CLM-10248"/>
    <d v="2023-10-17T00:00:00"/>
    <d v="2023-12-17T00:00:00"/>
    <d v="2024-07-03T00:00:00"/>
    <n v="77958.22"/>
    <x v="0"/>
    <n v="9"/>
    <n v="1"/>
    <n v="2024"/>
    <x v="0"/>
  </r>
  <r>
    <s v="CLM-10506"/>
    <d v="2022-02-14T00:00:00"/>
    <d v="2022-03-24T00:00:00"/>
    <d v="2022-09-25T00:00:00"/>
    <n v="-21397.439999999999"/>
    <x v="2"/>
    <n v="7"/>
    <n v="1"/>
    <n v="2022"/>
    <x v="1"/>
  </r>
  <r>
    <s v="CLM-10337"/>
    <d v="2023-10-07T00:00:00"/>
    <d v="2023-12-27T00:00:00"/>
    <d v="2024-09-05T00:00:00"/>
    <n v="33202.76"/>
    <x v="0"/>
    <n v="11"/>
    <n v="1"/>
    <n v="2024"/>
    <x v="0"/>
  </r>
  <r>
    <s v="CLM-10773"/>
    <d v="2021-06-28T00:00:00"/>
    <d v="2021-09-03T00:00:00"/>
    <d v="2021-12-11T00:00:00"/>
    <n v="32516.62"/>
    <x v="1"/>
    <n v="6"/>
    <n v="1"/>
    <n v="2021"/>
    <x v="1"/>
  </r>
  <r>
    <s v="CLM-10630"/>
    <d v="2023-01-27T00:00:00"/>
    <m/>
    <d v="2023-05-07T00:00:00"/>
    <n v="-14705.09"/>
    <x v="0"/>
    <n v="4"/>
    <n v="1"/>
    <n v="2023"/>
    <x v="1"/>
  </r>
  <r>
    <s v="CLM-10172"/>
    <d v="2022-02-17T00:00:00"/>
    <d v="2022-04-25T00:00:00"/>
    <d v="2022-09-19T00:00:00"/>
    <n v="36522.54"/>
    <x v="2"/>
    <n v="7"/>
    <n v="1"/>
    <n v="2022"/>
    <x v="1"/>
  </r>
  <r>
    <s v="CLM-10075"/>
    <d v="2021-06-20T00:00:00"/>
    <d v="2021-09-11T00:00:00"/>
    <d v="2022-03-21T00:00:00"/>
    <n v="7092.11"/>
    <x v="1"/>
    <n v="9"/>
    <n v="1"/>
    <n v="2022"/>
    <x v="0"/>
  </r>
  <r>
    <s v="CLM-10546"/>
    <d v="2020-09-10T00:00:00"/>
    <d v="2020-12-03T00:00:00"/>
    <d v="2021-12-06T00:00:00"/>
    <n v="6063.91"/>
    <x v="3"/>
    <n v="15"/>
    <n v="2"/>
    <n v="2021"/>
    <x v="0"/>
  </r>
  <r>
    <s v="CLM-10179"/>
    <d v="2022-05-13T00:00:00"/>
    <d v="2022-07-28T00:00:00"/>
    <d v="2023-09-30T00:00:00"/>
    <n v="11591.56"/>
    <x v="2"/>
    <n v="16"/>
    <n v="2"/>
    <n v="2023"/>
    <x v="0"/>
  </r>
  <r>
    <s v="CLM-10131"/>
    <d v="2024-12-04T00:00:00"/>
    <m/>
    <d v="2025-01-18T00:00:00"/>
    <n v="83892.17"/>
    <x v="4"/>
    <n v="1"/>
    <n v="1"/>
    <n v="2025"/>
    <x v="0"/>
  </r>
  <r>
    <s v="CLM-10060"/>
    <d v="2023-02-13T00:00:00"/>
    <d v="2023-03-14T00:00:00"/>
    <d v="2024-03-09T00:00:00"/>
    <n v="43609.19"/>
    <x v="0"/>
    <n v="13"/>
    <n v="2"/>
    <n v="2024"/>
    <x v="0"/>
  </r>
  <r>
    <s v="CLM-10128"/>
    <d v="2022-01-16T00:00:00"/>
    <d v="2022-01-26T00:00:00"/>
    <d v="2022-05-17T00:00:00"/>
    <n v="20891.310000000001"/>
    <x v="2"/>
    <n v="4"/>
    <n v="1"/>
    <n v="2022"/>
    <x v="1"/>
  </r>
  <r>
    <s v="CLM-10461"/>
    <d v="2023-06-03T00:00:00"/>
    <d v="2023-06-28T00:00:00"/>
    <d v="2024-04-20T00:00:00"/>
    <n v="80502.960000000006"/>
    <x v="0"/>
    <n v="10"/>
    <n v="1"/>
    <n v="2024"/>
    <x v="0"/>
  </r>
  <r>
    <s v="CLM-10283"/>
    <d v="2022-06-16T00:00:00"/>
    <m/>
    <d v="2023-10-22T00:00:00"/>
    <n v="65541.72"/>
    <x v="2"/>
    <n v="16"/>
    <n v="2"/>
    <n v="2023"/>
    <x v="0"/>
  </r>
  <r>
    <s v="CLM-10550"/>
    <d v="2024-03-14T00:00:00"/>
    <d v="2024-04-23T00:00:00"/>
    <d v="2025-01-03T00:00:00"/>
    <n v="36866.019999999997"/>
    <x v="4"/>
    <n v="10"/>
    <n v="1"/>
    <n v="2025"/>
    <x v="0"/>
  </r>
  <r>
    <s v="CLM-10026"/>
    <d v="2022-11-30T00:00:00"/>
    <d v="2023-01-14T00:00:00"/>
    <d v="2023-07-29T00:00:00"/>
    <n v="62305.62"/>
    <x v="2"/>
    <n v="8"/>
    <n v="1"/>
    <n v="2023"/>
    <x v="0"/>
  </r>
  <r>
    <s v="CLM-10008"/>
    <d v="2022-06-09T00:00:00"/>
    <d v="2022-08-03T00:00:00"/>
    <d v="2023-02-10T00:00:00"/>
    <n v="3448.63"/>
    <x v="2"/>
    <n v="8"/>
    <n v="1"/>
    <n v="2023"/>
    <x v="0"/>
  </r>
  <r>
    <s v="CLM-10032"/>
    <d v="2024-04-18T00:00:00"/>
    <d v="2024-06-02T00:00:00"/>
    <d v="2024-08-28T00:00:00"/>
    <n v="6851.3"/>
    <x v="4"/>
    <n v="4"/>
    <n v="1"/>
    <n v="2024"/>
    <x v="1"/>
  </r>
  <r>
    <s v="CLM-10104"/>
    <d v="2022-03-06T00:00:00"/>
    <d v="2022-04-14T00:00:00"/>
    <d v="2022-09-10T00:00:00"/>
    <n v="16705.16"/>
    <x v="2"/>
    <n v="6"/>
    <n v="1"/>
    <n v="2022"/>
    <x v="1"/>
  </r>
  <r>
    <s v="CLM-10185"/>
    <d v="2023-05-04T00:00:00"/>
    <d v="2023-05-09T00:00:00"/>
    <d v="2024-03-28T00:00:00"/>
    <n v="70333.94"/>
    <x v="0"/>
    <n v="10"/>
    <n v="1"/>
    <n v="2024"/>
    <x v="0"/>
  </r>
  <r>
    <s v="CLM-10142"/>
    <d v="2021-02-14T00:00:00"/>
    <d v="2021-04-15T00:00:00"/>
    <d v="2022-01-07T00:00:00"/>
    <n v="15655.59"/>
    <x v="1"/>
    <n v="11"/>
    <n v="1"/>
    <n v="2022"/>
    <x v="0"/>
  </r>
  <r>
    <s v="CLM-10024"/>
    <d v="2020-07-20T00:00:00"/>
    <d v="2020-10-03T00:00:00"/>
    <d v="2021-03-16T00:00:00"/>
    <n v="12874.83"/>
    <x v="3"/>
    <n v="8"/>
    <n v="1"/>
    <n v="2021"/>
    <x v="0"/>
  </r>
  <r>
    <s v="CLM-10695"/>
    <d v="2023-05-05T00:00:00"/>
    <d v="2023-08-01T00:00:00"/>
    <d v="2023-08-16T00:00:00"/>
    <n v="36098.1"/>
    <x v="0"/>
    <n v="3"/>
    <n v="1"/>
    <n v="2023"/>
    <x v="1"/>
  </r>
  <r>
    <s v="CLM-10648"/>
    <d v="2022-06-02T00:00:00"/>
    <d v="2022-07-31T00:00:00"/>
    <d v="2023-04-20T00:00:00"/>
    <n v="54324.7"/>
    <x v="2"/>
    <n v="10"/>
    <n v="1"/>
    <n v="2023"/>
    <x v="0"/>
  </r>
  <r>
    <s v="CLM-10688"/>
    <d v="2020-01-02T00:00:00"/>
    <d v="2020-02-21T00:00:00"/>
    <d v="2021-07-16T00:00:00"/>
    <n v="58076.71"/>
    <x v="3"/>
    <n v="18"/>
    <n v="2"/>
    <n v="2021"/>
    <x v="0"/>
  </r>
  <r>
    <s v="CLM-10495"/>
    <d v="2020-05-14T00:00:00"/>
    <d v="2020-08-08T00:00:00"/>
    <d v="2021-07-04T00:00:00"/>
    <n v="41818.68"/>
    <x v="3"/>
    <n v="14"/>
    <n v="2"/>
    <n v="2021"/>
    <x v="0"/>
  </r>
  <r>
    <s v="CLM-10069"/>
    <d v="2022-06-08T00:00:00"/>
    <d v="2022-06-14T00:00:00"/>
    <d v="2022-10-13T00:00:00"/>
    <n v="46980.15"/>
    <x v="2"/>
    <n v="4"/>
    <n v="1"/>
    <n v="2022"/>
    <x v="1"/>
  </r>
  <r>
    <s v="CLM-10619"/>
    <d v="2022-07-06T00:00:00"/>
    <d v="2022-07-10T00:00:00"/>
    <d v="2022-09-29T00:00:00"/>
    <n v="31589.99"/>
    <x v="2"/>
    <n v="2"/>
    <n v="1"/>
    <n v="2022"/>
    <x v="1"/>
  </r>
  <r>
    <s v="CLM-10339"/>
    <d v="2024-08-14T00:00:00"/>
    <d v="2024-08-24T00:00:00"/>
    <d v="2025-05-31T00:00:00"/>
    <n v="34115.120000000003"/>
    <x v="4"/>
    <n v="9"/>
    <n v="1"/>
    <n v="2025"/>
    <x v="0"/>
  </r>
  <r>
    <s v="CLM-10737"/>
    <d v="2020-02-19T00:00:00"/>
    <d v="2020-04-14T00:00:00"/>
    <d v="2020-09-29T00:00:00"/>
    <n v="81445.55"/>
    <x v="3"/>
    <n v="7"/>
    <n v="1"/>
    <n v="2020"/>
    <x v="1"/>
  </r>
  <r>
    <s v="CLM-10572"/>
    <d v="2022-01-05T00:00:00"/>
    <d v="2022-02-10T00:00:00"/>
    <d v="2022-09-05T00:00:00"/>
    <n v="64862.14"/>
    <x v="2"/>
    <n v="8"/>
    <n v="1"/>
    <n v="2022"/>
    <x v="1"/>
  </r>
  <r>
    <s v="CLM-10066"/>
    <d v="2024-05-14T00:00:00"/>
    <d v="2024-07-16T00:00:00"/>
    <d v="2024-10-13T00:00:00"/>
    <n v="47009.43"/>
    <x v="4"/>
    <n v="5"/>
    <n v="1"/>
    <n v="2024"/>
    <x v="1"/>
  </r>
  <r>
    <s v="CLM-10555"/>
    <d v="2022-12-21T00:00:00"/>
    <d v="2023-03-18T00:00:00"/>
    <d v="2023-04-19T00:00:00"/>
    <n v="53415.4"/>
    <x v="2"/>
    <n v="4"/>
    <n v="1"/>
    <n v="2023"/>
    <x v="0"/>
  </r>
  <r>
    <s v="CLM-10184"/>
    <d v="2020-12-27T00:00:00"/>
    <d v="2021-01-30T00:00:00"/>
    <d v="2022-02-04T00:00:00"/>
    <n v="8620.44"/>
    <x v="3"/>
    <n v="14"/>
    <n v="2"/>
    <n v="2022"/>
    <x v="2"/>
  </r>
  <r>
    <s v="CLM-10450"/>
    <d v="2021-07-26T00:00:00"/>
    <d v="2021-09-22T00:00:00"/>
    <d v="2022-06-20T00:00:00"/>
    <n v="-22699.27"/>
    <x v="1"/>
    <n v="11"/>
    <n v="1"/>
    <n v="2022"/>
    <x v="0"/>
  </r>
  <r>
    <s v="CLM-10148"/>
    <d v="2022-03-26T00:00:00"/>
    <m/>
    <d v="2022-09-15T00:00:00"/>
    <n v="70475.83"/>
    <x v="2"/>
    <n v="6"/>
    <n v="1"/>
    <n v="2022"/>
    <x v="1"/>
  </r>
  <r>
    <s v="CLM-10508"/>
    <d v="2022-06-05T00:00:00"/>
    <d v="2022-08-05T00:00:00"/>
    <d v="2022-12-23T00:00:00"/>
    <n v="64846.14"/>
    <x v="2"/>
    <n v="6"/>
    <n v="1"/>
    <n v="2022"/>
    <x v="1"/>
  </r>
  <r>
    <s v="CLM-10646"/>
    <d v="2021-06-05T00:00:00"/>
    <d v="2021-08-10T00:00:00"/>
    <d v="2022-10-17T00:00:00"/>
    <n v="-11305.31"/>
    <x v="1"/>
    <n v="16"/>
    <n v="2"/>
    <n v="2022"/>
    <x v="0"/>
  </r>
  <r>
    <s v="CLM-10675"/>
    <d v="2023-03-27T00:00:00"/>
    <d v="2023-04-08T00:00:00"/>
    <d v="2023-07-27T00:00:00"/>
    <n v="9354.01"/>
    <x v="0"/>
    <n v="4"/>
    <n v="1"/>
    <n v="2023"/>
    <x v="1"/>
  </r>
  <r>
    <s v="CLM-10155"/>
    <d v="2022-10-26T00:00:00"/>
    <d v="2022-12-24T00:00:00"/>
    <d v="2023-02-28T00:00:00"/>
    <n v="27979.68"/>
    <x v="2"/>
    <n v="4"/>
    <n v="1"/>
    <n v="2023"/>
    <x v="0"/>
  </r>
  <r>
    <s v="CLM-10475"/>
    <d v="2022-10-21T00:00:00"/>
    <d v="2022-12-25T00:00:00"/>
    <d v="2023-07-03T00:00:00"/>
    <n v="44235.46"/>
    <x v="2"/>
    <n v="9"/>
    <n v="1"/>
    <n v="2023"/>
    <x v="0"/>
  </r>
  <r>
    <s v="CLM-10097"/>
    <d v="2021-04-13T00:00:00"/>
    <d v="2021-06-26T00:00:00"/>
    <d v="2023-01-03T00:00:00"/>
    <n v="71206.84"/>
    <x v="1"/>
    <n v="21"/>
    <n v="2"/>
    <n v="2023"/>
    <x v="2"/>
  </r>
  <r>
    <s v="CLM-10672"/>
    <d v="2021-07-09T00:00:00"/>
    <d v="2021-08-25T00:00:00"/>
    <d v="2023-01-04T00:00:00"/>
    <n v="4266.6099999999997"/>
    <x v="1"/>
    <n v="18"/>
    <n v="2"/>
    <n v="2023"/>
    <x v="2"/>
  </r>
  <r>
    <s v="CLM-10141"/>
    <d v="2021-04-24T00:00:00"/>
    <d v="2021-06-10T00:00:00"/>
    <d v="2021-12-12T00:00:00"/>
    <n v="72939.42"/>
    <x v="1"/>
    <n v="8"/>
    <n v="1"/>
    <n v="2021"/>
    <x v="1"/>
  </r>
  <r>
    <s v="CLM-10775"/>
    <d v="2022-05-02T00:00:00"/>
    <d v="2022-07-26T00:00:00"/>
    <d v="2023-01-15T00:00:00"/>
    <n v="40098.11"/>
    <x v="2"/>
    <n v="8"/>
    <n v="1"/>
    <n v="2023"/>
    <x v="0"/>
  </r>
  <r>
    <s v="CLM-10439"/>
    <d v="2020-03-02T00:00:00"/>
    <d v="2020-04-26T00:00:00"/>
    <d v="2021-01-01T00:00:00"/>
    <n v="56099.59"/>
    <x v="3"/>
    <n v="10"/>
    <n v="1"/>
    <n v="2021"/>
    <x v="0"/>
  </r>
  <r>
    <s v="CLM-10774"/>
    <d v="2021-09-02T00:00:00"/>
    <d v="2021-10-07T00:00:00"/>
    <d v="2022-08-13T00:00:00"/>
    <n v="33454.83"/>
    <x v="1"/>
    <n v="11"/>
    <n v="1"/>
    <n v="2022"/>
    <x v="0"/>
  </r>
  <r>
    <s v="CLM-10476"/>
    <d v="2023-05-24T00:00:00"/>
    <d v="2023-07-26T00:00:00"/>
    <d v="2024-08-03T00:00:00"/>
    <n v="55067.83"/>
    <x v="0"/>
    <n v="15"/>
    <n v="2"/>
    <n v="2024"/>
    <x v="0"/>
  </r>
  <r>
    <s v="CLM-10370"/>
    <d v="2023-07-19T00:00:00"/>
    <d v="2023-08-05T00:00:00"/>
    <d v="2023-09-20T00:00:00"/>
    <n v="11107.11"/>
    <x v="0"/>
    <n v="2"/>
    <n v="1"/>
    <n v="2023"/>
    <x v="1"/>
  </r>
  <r>
    <s v="CLM-10697"/>
    <d v="2023-11-11T00:00:00"/>
    <d v="2024-01-28T00:00:00"/>
    <d v="2025-04-06T00:00:00"/>
    <n v="24446.81"/>
    <x v="0"/>
    <n v="17"/>
    <n v="2"/>
    <n v="2025"/>
    <x v="2"/>
  </r>
  <r>
    <s v="CLM-10553"/>
    <d v="2022-12-07T00:00:00"/>
    <d v="2023-02-16T00:00:00"/>
    <d v="2024-05-31T00:00:00"/>
    <n v="11878.6"/>
    <x v="2"/>
    <n v="17"/>
    <n v="2"/>
    <n v="2024"/>
    <x v="2"/>
  </r>
  <r>
    <s v="CLM-10740"/>
    <d v="2022-08-24T00:00:00"/>
    <d v="2022-10-06T00:00:00"/>
    <d v="2023-11-09T00:00:00"/>
    <n v="-13359.47"/>
    <x v="2"/>
    <n v="15"/>
    <n v="2"/>
    <n v="2023"/>
    <x v="0"/>
  </r>
  <r>
    <s v="CLM-10784"/>
    <d v="2022-11-25T00:00:00"/>
    <d v="2022-12-09T00:00:00"/>
    <d v="2023-07-18T00:00:00"/>
    <n v="52614.12"/>
    <x v="2"/>
    <n v="8"/>
    <n v="1"/>
    <n v="2023"/>
    <x v="0"/>
  </r>
  <r>
    <s v="CLM-10025"/>
    <d v="2023-04-02T00:00:00"/>
    <d v="2023-06-03T00:00:00"/>
    <d v="2023-11-18T00:00:00"/>
    <n v="55594.06"/>
    <x v="0"/>
    <n v="7"/>
    <n v="1"/>
    <n v="2023"/>
    <x v="1"/>
  </r>
  <r>
    <s v="CLM-10305"/>
    <d v="2023-10-04T00:00:00"/>
    <d v="2023-11-16T00:00:00"/>
    <d v="2025-01-18T00:00:00"/>
    <n v="68084.399999999994"/>
    <x v="0"/>
    <n v="15"/>
    <n v="2"/>
    <n v="2025"/>
    <x v="2"/>
  </r>
  <r>
    <s v="CLM-10606"/>
    <d v="2022-04-02T00:00:00"/>
    <d v="2022-05-23T00:00:00"/>
    <d v="2022-10-23T00:00:00"/>
    <n v="3179.8"/>
    <x v="2"/>
    <n v="6"/>
    <n v="1"/>
    <n v="2022"/>
    <x v="1"/>
  </r>
  <r>
    <s v="CLM-10797"/>
    <d v="2022-07-21T00:00:00"/>
    <d v="2022-08-09T00:00:00"/>
    <d v="2022-10-26T00:00:00"/>
    <n v="56772.18"/>
    <x v="2"/>
    <n v="3"/>
    <n v="1"/>
    <n v="2022"/>
    <x v="1"/>
  </r>
  <r>
    <s v="CLM-10726"/>
    <d v="2021-09-17T00:00:00"/>
    <d v="2021-11-10T00:00:00"/>
    <d v="2023-02-25T00:00:00"/>
    <n v="51890.26"/>
    <x v="1"/>
    <n v="17"/>
    <n v="2"/>
    <n v="2023"/>
    <x v="2"/>
  </r>
  <r>
    <s v="CLM-10790"/>
    <d v="2024-09-23T00:00:00"/>
    <d v="2024-10-26T00:00:00"/>
    <d v="2025-04-16T00:00:00"/>
    <n v="78517.45"/>
    <x v="4"/>
    <n v="7"/>
    <n v="1"/>
    <n v="2025"/>
    <x v="0"/>
  </r>
  <r>
    <s v="CLM-10355"/>
    <d v="2023-03-23T00:00:00"/>
    <d v="2023-04-15T00:00:00"/>
    <d v="2024-03-24T00:00:00"/>
    <n v="40921.230000000003"/>
    <x v="0"/>
    <n v="12"/>
    <n v="1"/>
    <n v="2024"/>
    <x v="0"/>
  </r>
  <r>
    <s v="CLM-10701"/>
    <d v="2022-06-23T00:00:00"/>
    <d v="2022-08-04T00:00:00"/>
    <d v="2023-07-27T00:00:00"/>
    <n v="42853.04"/>
    <x v="2"/>
    <n v="13"/>
    <n v="2"/>
    <n v="2023"/>
    <x v="0"/>
  </r>
  <r>
    <s v="CLM-10491"/>
    <d v="2023-01-22T00:00:00"/>
    <d v="2023-03-22T00:00:00"/>
    <d v="2024-05-29T00:00:00"/>
    <n v="27195.71"/>
    <x v="0"/>
    <n v="16"/>
    <n v="2"/>
    <n v="2024"/>
    <x v="0"/>
  </r>
  <r>
    <s v="CLM-10421"/>
    <d v="2021-02-14T00:00:00"/>
    <d v="2021-03-17T00:00:00"/>
    <d v="2021-05-14T00:00:00"/>
    <n v="78393.3"/>
    <x v="1"/>
    <n v="3"/>
    <n v="1"/>
    <n v="2021"/>
    <x v="1"/>
  </r>
  <r>
    <s v="CLM-10067"/>
    <d v="2021-04-24T00:00:00"/>
    <d v="2021-05-11T00:00:00"/>
    <d v="2022-11-02T00:00:00"/>
    <n v="45580.71"/>
    <x v="1"/>
    <n v="19"/>
    <n v="2"/>
    <n v="2022"/>
    <x v="0"/>
  </r>
  <r>
    <s v="CLM-10741"/>
    <d v="2020-03-12T00:00:00"/>
    <d v="2020-05-26T00:00:00"/>
    <d v="2020-12-21T00:00:00"/>
    <n v="82161.95"/>
    <x v="3"/>
    <n v="9"/>
    <n v="1"/>
    <n v="2020"/>
    <x v="1"/>
  </r>
  <r>
    <s v="CLM-10505"/>
    <d v="2021-11-07T00:00:00"/>
    <d v="2022-02-01T00:00:00"/>
    <d v="2022-10-28T00:00:00"/>
    <n v="-11836.78"/>
    <x v="1"/>
    <n v="11"/>
    <n v="1"/>
    <n v="2022"/>
    <x v="0"/>
  </r>
  <r>
    <s v="CLM-10092"/>
    <d v="2020-06-15T00:00:00"/>
    <d v="2020-09-08T00:00:00"/>
    <d v="2021-09-23T00:00:00"/>
    <n v="66824.14"/>
    <x v="3"/>
    <n v="15"/>
    <n v="2"/>
    <n v="2021"/>
    <x v="0"/>
  </r>
  <r>
    <s v="CLM-10505"/>
    <d v="2021-11-07T00:00:00"/>
    <d v="2022-02-01T00:00:00"/>
    <d v="2023-03-26T00:00:00"/>
    <n v="73000.490000000005"/>
    <x v="1"/>
    <n v="16"/>
    <n v="2"/>
    <n v="2023"/>
    <x v="2"/>
  </r>
  <r>
    <s v="CLM-10185"/>
    <d v="2023-05-04T00:00:00"/>
    <d v="2023-05-09T00:00:00"/>
    <d v="2023-07-30T00:00:00"/>
    <n v="48905.36"/>
    <x v="0"/>
    <n v="2"/>
    <n v="1"/>
    <n v="2023"/>
    <x v="1"/>
  </r>
  <r>
    <s v="CLM-10615"/>
    <d v="2023-03-05T00:00:00"/>
    <d v="2023-03-13T00:00:00"/>
    <d v="2023-10-26T00:00:00"/>
    <n v="12167.08"/>
    <x v="0"/>
    <n v="7"/>
    <n v="1"/>
    <n v="2023"/>
    <x v="1"/>
  </r>
  <r>
    <s v="CLM-10737"/>
    <d v="2020-02-19T00:00:00"/>
    <d v="2020-04-14T00:00:00"/>
    <d v="2021-03-28T00:00:00"/>
    <n v="18863.169999999998"/>
    <x v="3"/>
    <n v="13"/>
    <n v="2"/>
    <n v="2021"/>
    <x v="0"/>
  </r>
  <r>
    <s v="CLM-10429"/>
    <d v="2020-04-12T00:00:00"/>
    <d v="2020-06-20T00:00:00"/>
    <d v="2020-12-26T00:00:00"/>
    <n v="3407.23"/>
    <x v="3"/>
    <n v="8"/>
    <n v="1"/>
    <n v="2020"/>
    <x v="1"/>
  </r>
  <r>
    <s v="CLM-10095"/>
    <d v="2020-09-01T00:00:00"/>
    <d v="2020-11-10T00:00:00"/>
    <d v="2021-10-21T00:00:00"/>
    <n v="-2751.8"/>
    <x v="3"/>
    <n v="13"/>
    <n v="2"/>
    <n v="2021"/>
    <x v="0"/>
  </r>
  <r>
    <s v="CLM-10151"/>
    <d v="2022-07-14T00:00:00"/>
    <d v="2022-09-25T00:00:00"/>
    <d v="2023-05-06T00:00:00"/>
    <n v="59023.519999999997"/>
    <x v="2"/>
    <n v="10"/>
    <n v="1"/>
    <n v="2023"/>
    <x v="0"/>
  </r>
  <r>
    <s v="CLM-10379"/>
    <d v="2020-05-27T00:00:00"/>
    <d v="2020-08-22T00:00:00"/>
    <d v="2021-07-22T00:00:00"/>
    <n v="-17341.919999999998"/>
    <x v="3"/>
    <n v="14"/>
    <n v="2"/>
    <n v="2021"/>
    <x v="0"/>
  </r>
  <r>
    <s v="CLM-10142"/>
    <d v="2021-02-14T00:00:00"/>
    <d v="2021-04-15T00:00:00"/>
    <d v="2022-03-14T00:00:00"/>
    <n v="-23139.360000000001"/>
    <x v="1"/>
    <n v="13"/>
    <n v="2"/>
    <n v="2022"/>
    <x v="0"/>
  </r>
  <r>
    <s v="CLM-10415"/>
    <d v="2021-08-30T00:00:00"/>
    <d v="2021-11-09T00:00:00"/>
    <d v="2022-01-18T00:00:00"/>
    <n v="68268.789999999994"/>
    <x v="1"/>
    <n v="5"/>
    <n v="1"/>
    <n v="2022"/>
    <x v="0"/>
  </r>
  <r>
    <s v="CLM-10048"/>
    <d v="2024-06-03T00:00:00"/>
    <d v="2024-07-20T00:00:00"/>
    <d v="2025-02-16T00:00:00"/>
    <n v="23189.71"/>
    <x v="4"/>
    <n v="8"/>
    <n v="1"/>
    <n v="2025"/>
    <x v="0"/>
  </r>
  <r>
    <s v="CLM-10102"/>
    <d v="2022-07-01T00:00:00"/>
    <d v="2022-07-05T00:00:00"/>
    <d v="2022-11-05T00:00:00"/>
    <n v="75388.02"/>
    <x v="2"/>
    <n v="4"/>
    <n v="1"/>
    <n v="2022"/>
    <x v="1"/>
  </r>
  <r>
    <s v="CLM-10768"/>
    <d v="2023-04-21T00:00:00"/>
    <d v="2023-06-26T00:00:00"/>
    <d v="2024-01-19T00:00:00"/>
    <n v="17846.25"/>
    <x v="0"/>
    <n v="9"/>
    <n v="1"/>
    <n v="2024"/>
    <x v="0"/>
  </r>
  <r>
    <s v="CLM-10097"/>
    <d v="2021-04-13T00:00:00"/>
    <d v="2021-06-26T00:00:00"/>
    <d v="2021-12-14T00:00:00"/>
    <n v="-17928.75"/>
    <x v="1"/>
    <n v="8"/>
    <n v="1"/>
    <n v="2021"/>
    <x v="1"/>
  </r>
  <r>
    <s v="CLM-10739"/>
    <d v="2022-04-28T00:00:00"/>
    <d v="2022-06-04T00:00:00"/>
    <d v="2022-08-16T00:00:00"/>
    <n v="55598.400000000001"/>
    <x v="2"/>
    <n v="4"/>
    <n v="1"/>
    <n v="2022"/>
    <x v="1"/>
  </r>
  <r>
    <s v="CLM-10711"/>
    <d v="2023-08-15T00:00:00"/>
    <d v="2023-08-27T00:00:00"/>
    <d v="2023-09-29T00:00:00"/>
    <n v="26685.59"/>
    <x v="0"/>
    <n v="1"/>
    <n v="1"/>
    <n v="2023"/>
    <x v="1"/>
  </r>
  <r>
    <s v="CLM-10243"/>
    <d v="2024-08-29T00:00:00"/>
    <d v="2024-09-11T00:00:00"/>
    <d v="2025-03-19T00:00:00"/>
    <n v="49172.01"/>
    <x v="4"/>
    <n v="7"/>
    <n v="1"/>
    <n v="2025"/>
    <x v="0"/>
  </r>
  <r>
    <s v="CLM-10787"/>
    <d v="2022-05-27T00:00:00"/>
    <m/>
    <d v="2023-02-21T00:00:00"/>
    <n v="-16871.23"/>
    <x v="2"/>
    <n v="9"/>
    <n v="1"/>
    <n v="2023"/>
    <x v="0"/>
  </r>
  <r>
    <s v="CLM-10108"/>
    <d v="2020-10-11T00:00:00"/>
    <d v="2020-12-27T00:00:00"/>
    <d v="2021-09-16T00:00:00"/>
    <n v="43750.15"/>
    <x v="3"/>
    <n v="11"/>
    <n v="1"/>
    <n v="2021"/>
    <x v="0"/>
  </r>
  <r>
    <s v="CLM-10671"/>
    <d v="2022-12-18T00:00:00"/>
    <d v="2023-01-16T00:00:00"/>
    <d v="2023-11-10T00:00:00"/>
    <n v="3461.93"/>
    <x v="2"/>
    <n v="11"/>
    <n v="1"/>
    <n v="2023"/>
    <x v="0"/>
  </r>
  <r>
    <s v="CLM-10301"/>
    <d v="2023-08-02T00:00:00"/>
    <d v="2023-09-16T00:00:00"/>
    <d v="2024-02-17T00:00:00"/>
    <n v="25392.36"/>
    <x v="0"/>
    <n v="6"/>
    <n v="1"/>
    <n v="2024"/>
    <x v="0"/>
  </r>
  <r>
    <s v="CLM-10459"/>
    <d v="2020-01-06T00:00:00"/>
    <d v="2020-03-05T00:00:00"/>
    <d v="2021-11-30T00:00:00"/>
    <n v="42097.82"/>
    <x v="3"/>
    <n v="22"/>
    <n v="2"/>
    <n v="2021"/>
    <x v="0"/>
  </r>
  <r>
    <s v="CLM-10383"/>
    <d v="2023-06-20T00:00:00"/>
    <d v="2023-07-10T00:00:00"/>
    <d v="2023-12-29T00:00:00"/>
    <n v="-20622.669999999998"/>
    <x v="0"/>
    <n v="6"/>
    <n v="1"/>
    <n v="2023"/>
    <x v="1"/>
  </r>
  <r>
    <s v="CLM-10787"/>
    <d v="2022-05-27T00:00:00"/>
    <m/>
    <d v="2022-10-29T00:00:00"/>
    <n v="18523.740000000002"/>
    <x v="2"/>
    <n v="5"/>
    <n v="1"/>
    <n v="2022"/>
    <x v="1"/>
  </r>
  <r>
    <s v="CLM-10442"/>
    <d v="2024-07-27T00:00:00"/>
    <d v="2024-09-16T00:00:00"/>
    <d v="2025-02-08T00:00:00"/>
    <n v="27546.15"/>
    <x v="4"/>
    <n v="7"/>
    <n v="1"/>
    <n v="2025"/>
    <x v="0"/>
  </r>
  <r>
    <s v="CLM-10740"/>
    <d v="2022-08-24T00:00:00"/>
    <d v="2022-10-06T00:00:00"/>
    <d v="2023-05-31T00:00:00"/>
    <n v="46366.54"/>
    <x v="2"/>
    <n v="9"/>
    <n v="1"/>
    <n v="2023"/>
    <x v="0"/>
  </r>
  <r>
    <s v="CLM-10133"/>
    <d v="2023-07-29T00:00:00"/>
    <d v="2023-10-10T00:00:00"/>
    <d v="2025-03-26T00:00:00"/>
    <n v="74692.850000000006"/>
    <x v="0"/>
    <n v="20"/>
    <n v="2"/>
    <n v="2025"/>
    <x v="2"/>
  </r>
  <r>
    <s v="CLM-10184"/>
    <d v="2020-12-27T00:00:00"/>
    <d v="2021-01-30T00:00:00"/>
    <d v="2021-07-30T00:00:00"/>
    <n v="-1397.65"/>
    <x v="3"/>
    <n v="7"/>
    <n v="1"/>
    <n v="2021"/>
    <x v="0"/>
  </r>
  <r>
    <s v="CLM-10390"/>
    <d v="2024-04-26T00:00:00"/>
    <d v="2024-05-27T00:00:00"/>
    <d v="2024-06-24T00:00:00"/>
    <n v="40411.64"/>
    <x v="4"/>
    <n v="2"/>
    <n v="1"/>
    <n v="2024"/>
    <x v="1"/>
  </r>
  <r>
    <s v="CLM-10578"/>
    <d v="2023-04-08T00:00:00"/>
    <m/>
    <d v="2024-01-26T00:00:00"/>
    <n v="44944.4"/>
    <x v="0"/>
    <n v="9"/>
    <n v="1"/>
    <n v="2024"/>
    <x v="0"/>
  </r>
  <r>
    <s v="CLM-10199"/>
    <d v="2021-11-26T00:00:00"/>
    <m/>
    <d v="2023-03-30T00:00:00"/>
    <n v="11326.82"/>
    <x v="1"/>
    <n v="16"/>
    <n v="2"/>
    <n v="2023"/>
    <x v="2"/>
  </r>
  <r>
    <s v="CLM-10684"/>
    <d v="2022-05-06T00:00:00"/>
    <d v="2022-06-26T00:00:00"/>
    <d v="2023-07-07T00:00:00"/>
    <n v="22917.88"/>
    <x v="2"/>
    <n v="14"/>
    <n v="2"/>
    <n v="2023"/>
    <x v="0"/>
  </r>
  <r>
    <s v="CLM-10146"/>
    <d v="2020-09-10T00:00:00"/>
    <d v="2020-11-21T00:00:00"/>
    <d v="2021-09-17T00:00:00"/>
    <n v="41774.160000000003"/>
    <x v="3"/>
    <n v="12"/>
    <n v="1"/>
    <n v="2021"/>
    <x v="0"/>
  </r>
  <r>
    <s v="CLM-10342"/>
    <d v="2022-09-06T00:00:00"/>
    <d v="2022-11-15T00:00:00"/>
    <d v="2023-11-19T00:00:00"/>
    <n v="7659.89"/>
    <x v="2"/>
    <n v="14"/>
    <n v="2"/>
    <n v="2023"/>
    <x v="0"/>
  </r>
  <r>
    <s v="CLM-10750"/>
    <d v="2023-10-11T00:00:00"/>
    <d v="2024-01-07T00:00:00"/>
    <d v="2024-07-13T00:00:00"/>
    <n v="73404.800000000003"/>
    <x v="0"/>
    <n v="9"/>
    <n v="1"/>
    <n v="2024"/>
    <x v="0"/>
  </r>
  <r>
    <s v="CLM-10061"/>
    <d v="2023-12-09T00:00:00"/>
    <d v="2024-02-24T00:00:00"/>
    <d v="2024-07-21T00:00:00"/>
    <n v="37848.620000000003"/>
    <x v="0"/>
    <n v="7"/>
    <n v="1"/>
    <n v="2024"/>
    <x v="0"/>
  </r>
  <r>
    <s v="CLM-10613"/>
    <d v="2024-06-12T00:00:00"/>
    <d v="2024-09-05T00:00:00"/>
    <d v="2024-11-13T00:00:00"/>
    <n v="24900.06"/>
    <x v="4"/>
    <n v="5"/>
    <n v="1"/>
    <n v="2024"/>
    <x v="1"/>
  </r>
  <r>
    <s v="CLM-10310"/>
    <d v="2020-01-04T00:00:00"/>
    <d v="2020-02-18T00:00:00"/>
    <d v="2020-11-14T00:00:00"/>
    <n v="54705.02"/>
    <x v="3"/>
    <n v="10"/>
    <n v="1"/>
    <n v="2020"/>
    <x v="1"/>
  </r>
  <r>
    <s v="CLM-10615"/>
    <d v="2023-03-05T00:00:00"/>
    <d v="2023-03-13T00:00:00"/>
    <d v="2024-02-28T00:00:00"/>
    <n v="39025.75"/>
    <x v="0"/>
    <n v="11"/>
    <n v="1"/>
    <n v="2024"/>
    <x v="0"/>
  </r>
  <r>
    <s v="CLM-10781"/>
    <d v="2021-12-31T00:00:00"/>
    <d v="2022-01-08T00:00:00"/>
    <d v="2022-04-07T00:00:00"/>
    <n v="21836.13"/>
    <x v="1"/>
    <n v="4"/>
    <n v="1"/>
    <n v="2022"/>
    <x v="0"/>
  </r>
  <r>
    <s v="CLM-10209"/>
    <d v="2024-01-20T00:00:00"/>
    <d v="2024-01-26T00:00:00"/>
    <d v="2025-01-27T00:00:00"/>
    <n v="17023.18"/>
    <x v="4"/>
    <n v="12"/>
    <n v="1"/>
    <n v="2025"/>
    <x v="0"/>
  </r>
  <r>
    <s v="CLM-10754"/>
    <d v="2023-12-13T00:00:00"/>
    <m/>
    <d v="2025-01-17T00:00:00"/>
    <n v="65451.55"/>
    <x v="0"/>
    <n v="13"/>
    <n v="2"/>
    <n v="2025"/>
    <x v="2"/>
  </r>
  <r>
    <s v="CLM-10165"/>
    <d v="2020-11-01T00:00:00"/>
    <d v="2020-11-23T00:00:00"/>
    <d v="2021-02-28T00:00:00"/>
    <n v="69951.7"/>
    <x v="3"/>
    <n v="3"/>
    <n v="1"/>
    <n v="2021"/>
    <x v="0"/>
  </r>
  <r>
    <s v="CLM-10651"/>
    <d v="2023-02-21T00:00:00"/>
    <d v="2023-04-08T00:00:00"/>
    <d v="2023-12-20T00:00:00"/>
    <n v="25942.38"/>
    <x v="0"/>
    <n v="10"/>
    <n v="1"/>
    <n v="2023"/>
    <x v="1"/>
  </r>
  <r>
    <s v="CLM-10689"/>
    <d v="2023-09-07T00:00:00"/>
    <d v="2023-09-27T00:00:00"/>
    <d v="2024-02-24T00:00:00"/>
    <n v="53189.14"/>
    <x v="0"/>
    <n v="5"/>
    <n v="1"/>
    <n v="2024"/>
    <x v="0"/>
  </r>
  <r>
    <s v="CLM-10246"/>
    <d v="2024-07-16T00:00:00"/>
    <d v="2024-09-10T00:00:00"/>
    <d v="2025-03-02T00:00:00"/>
    <n v="61569.64"/>
    <x v="4"/>
    <n v="8"/>
    <n v="1"/>
    <n v="2025"/>
    <x v="0"/>
  </r>
  <r>
    <s v="CLM-10777"/>
    <d v="2022-03-05T00:00:00"/>
    <d v="2022-03-14T00:00:00"/>
    <d v="2022-08-05T00:00:00"/>
    <n v="19565.810000000001"/>
    <x v="2"/>
    <n v="5"/>
    <n v="1"/>
    <n v="2022"/>
    <x v="1"/>
  </r>
  <r>
    <s v="CLM-10113"/>
    <d v="2020-02-04T00:00:00"/>
    <d v="2020-04-04T00:00:00"/>
    <d v="2021-08-15T00:00:00"/>
    <n v="51087.15"/>
    <x v="3"/>
    <n v="18"/>
    <n v="2"/>
    <n v="2021"/>
    <x v="0"/>
  </r>
  <r>
    <s v="CLM-10283"/>
    <d v="2022-06-16T00:00:00"/>
    <m/>
    <d v="2023-08-30T00:00:00"/>
    <n v="9869.34"/>
    <x v="2"/>
    <n v="14"/>
    <n v="2"/>
    <n v="2023"/>
    <x v="0"/>
  </r>
  <r>
    <s v="CLM-10730"/>
    <d v="2020-03-13T00:00:00"/>
    <d v="2020-03-31T00:00:00"/>
    <d v="2021-08-03T00:00:00"/>
    <n v="77062.97"/>
    <x v="3"/>
    <n v="17"/>
    <n v="2"/>
    <n v="2021"/>
    <x v="0"/>
  </r>
  <r>
    <s v="CLM-10495"/>
    <d v="2020-05-14T00:00:00"/>
    <d v="2020-08-08T00:00:00"/>
    <d v="2021-07-22T00:00:00"/>
    <n v="5612.88"/>
    <x v="3"/>
    <n v="14"/>
    <n v="2"/>
    <n v="2021"/>
    <x v="0"/>
  </r>
  <r>
    <s v="CLM-10052"/>
    <d v="2023-10-07T00:00:00"/>
    <d v="2023-11-20T00:00:00"/>
    <d v="2024-02-16T00:00:00"/>
    <n v="30714.76"/>
    <x v="0"/>
    <n v="4"/>
    <n v="1"/>
    <n v="2024"/>
    <x v="0"/>
  </r>
  <r>
    <s v="CLM-10483"/>
    <d v="2021-02-16T00:00:00"/>
    <d v="2021-03-07T00:00:00"/>
    <d v="2021-08-06T00:00:00"/>
    <n v="59460.97"/>
    <x v="1"/>
    <n v="6"/>
    <n v="1"/>
    <n v="2021"/>
    <x v="1"/>
  </r>
  <r>
    <s v="CLM-10230"/>
    <d v="2020-09-27T00:00:00"/>
    <d v="2020-11-09T00:00:00"/>
    <d v="2021-11-24T00:00:00"/>
    <n v="38605.449999999997"/>
    <x v="3"/>
    <n v="14"/>
    <n v="2"/>
    <n v="2021"/>
    <x v="0"/>
  </r>
  <r>
    <s v="CLM-10423"/>
    <d v="2023-03-17T00:00:00"/>
    <d v="2023-03-28T00:00:00"/>
    <d v="2024-04-07T00:00:00"/>
    <n v="69461.73"/>
    <x v="0"/>
    <n v="13"/>
    <n v="2"/>
    <n v="2024"/>
    <x v="0"/>
  </r>
  <r>
    <s v="CLM-10326"/>
    <d v="2021-03-08T00:00:00"/>
    <d v="2021-05-20T00:00:00"/>
    <d v="2022-01-21T00:00:00"/>
    <n v="52623.23"/>
    <x v="1"/>
    <n v="10"/>
    <n v="1"/>
    <n v="2022"/>
    <x v="0"/>
  </r>
  <r>
    <s v="CLM-10584"/>
    <d v="2020-04-23T00:00:00"/>
    <d v="2020-05-02T00:00:00"/>
    <d v="2021-05-22T00:00:00"/>
    <n v="-20816.75"/>
    <x v="3"/>
    <n v="13"/>
    <n v="2"/>
    <n v="2021"/>
    <x v="0"/>
  </r>
  <r>
    <s v="CLM-10108"/>
    <d v="2020-10-11T00:00:00"/>
    <d v="2020-12-27T00:00:00"/>
    <d v="2022-03-25T00:00:00"/>
    <n v="56566.97"/>
    <x v="3"/>
    <n v="17"/>
    <n v="2"/>
    <n v="2022"/>
    <x v="2"/>
  </r>
  <r>
    <s v="CLM-10189"/>
    <d v="2024-06-29T00:00:00"/>
    <m/>
    <d v="2025-01-13T00:00:00"/>
    <n v="-21507"/>
    <x v="4"/>
    <n v="7"/>
    <n v="1"/>
    <n v="2025"/>
    <x v="0"/>
  </r>
  <r>
    <s v="CLM-10270"/>
    <d v="2023-06-06T00:00:00"/>
    <d v="2023-08-19T00:00:00"/>
    <d v="2024-06-13T00:00:00"/>
    <n v="7613.83"/>
    <x v="0"/>
    <n v="12"/>
    <n v="1"/>
    <n v="2024"/>
    <x v="0"/>
  </r>
  <r>
    <s v="CLM-10248"/>
    <d v="2023-10-17T00:00:00"/>
    <d v="2023-12-17T00:00:00"/>
    <d v="2025-04-28T00:00:00"/>
    <n v="-18874.04"/>
    <x v="0"/>
    <n v="18"/>
    <n v="2"/>
    <n v="2025"/>
    <x v="2"/>
  </r>
  <r>
    <s v="CLM-10600"/>
    <d v="2022-03-31T00:00:00"/>
    <d v="2022-06-22T00:00:00"/>
    <d v="2023-04-16T00:00:00"/>
    <n v="63019.76"/>
    <x v="2"/>
    <n v="13"/>
    <n v="2"/>
    <n v="2023"/>
    <x v="0"/>
  </r>
  <r>
    <s v="CLM-10346"/>
    <d v="2022-10-15T00:00:00"/>
    <m/>
    <d v="2024-01-29T00:00:00"/>
    <n v="45558.400000000001"/>
    <x v="2"/>
    <n v="15"/>
    <n v="2"/>
    <n v="2024"/>
    <x v="2"/>
  </r>
  <r>
    <s v="CLM-10743"/>
    <d v="2023-05-19T00:00:00"/>
    <d v="2023-08-15T00:00:00"/>
    <d v="2024-02-28T00:00:00"/>
    <n v="-11257.66"/>
    <x v="0"/>
    <n v="9"/>
    <n v="1"/>
    <n v="2024"/>
    <x v="0"/>
  </r>
  <r>
    <s v="CLM-10133"/>
    <d v="2023-07-29T00:00:00"/>
    <d v="2023-10-10T00:00:00"/>
    <d v="2025-02-12T00:00:00"/>
    <n v="67438.19"/>
    <x v="0"/>
    <n v="19"/>
    <n v="2"/>
    <n v="2025"/>
    <x v="2"/>
  </r>
  <r>
    <s v="CLM-10552"/>
    <d v="2023-07-20T00:00:00"/>
    <d v="2023-10-15T00:00:00"/>
    <d v="2024-02-20T00:00:00"/>
    <n v="53420"/>
    <x v="0"/>
    <n v="7"/>
    <n v="1"/>
    <n v="2024"/>
    <x v="0"/>
  </r>
  <r>
    <s v="CLM-10702"/>
    <d v="2022-07-14T00:00:00"/>
    <d v="2022-07-29T00:00:00"/>
    <d v="2022-11-07T00:00:00"/>
    <n v="35657.370000000003"/>
    <x v="2"/>
    <n v="4"/>
    <n v="1"/>
    <n v="2022"/>
    <x v="1"/>
  </r>
  <r>
    <s v="CLM-10253"/>
    <d v="2021-09-30T00:00:00"/>
    <d v="2021-11-04T00:00:00"/>
    <d v="2022-01-30T00:00:00"/>
    <n v="-18779.560000000001"/>
    <x v="1"/>
    <n v="4"/>
    <n v="1"/>
    <n v="2022"/>
    <x v="0"/>
  </r>
  <r>
    <s v="CLM-10757"/>
    <d v="2021-02-20T00:00:00"/>
    <d v="2021-04-25T00:00:00"/>
    <d v="2021-12-31T00:00:00"/>
    <n v="37682.43"/>
    <x v="1"/>
    <n v="10"/>
    <n v="1"/>
    <n v="2021"/>
    <x v="1"/>
  </r>
  <r>
    <s v="CLM-10545"/>
    <d v="2022-06-02T00:00:00"/>
    <d v="2022-07-17T00:00:00"/>
    <d v="2023-03-12T00:00:00"/>
    <n v="66047.539999999994"/>
    <x v="2"/>
    <n v="9"/>
    <n v="1"/>
    <n v="2023"/>
    <x v="0"/>
  </r>
  <r>
    <s v="CLM-10407"/>
    <d v="2021-01-21T00:00:00"/>
    <d v="2021-04-02T00:00:00"/>
    <d v="2022-04-27T00:00:00"/>
    <n v="3595.19"/>
    <x v="1"/>
    <n v="15"/>
    <n v="2"/>
    <n v="2022"/>
    <x v="0"/>
  </r>
  <r>
    <s v="CLM-10173"/>
    <d v="2021-10-05T00:00:00"/>
    <d v="2021-12-04T00:00:00"/>
    <d v="2022-12-29T00:00:00"/>
    <n v="39759.46"/>
    <x v="1"/>
    <n v="14"/>
    <n v="2"/>
    <n v="2022"/>
    <x v="0"/>
  </r>
  <r>
    <s v="CLM-10096"/>
    <d v="2022-01-02T00:00:00"/>
    <d v="2022-01-10T00:00:00"/>
    <d v="2022-10-15T00:00:00"/>
    <n v="-24131.02"/>
    <x v="2"/>
    <n v="9"/>
    <n v="1"/>
    <n v="2022"/>
    <x v="1"/>
  </r>
  <r>
    <s v="CLM-10466"/>
    <d v="2021-04-19T00:00:00"/>
    <d v="2021-05-20T00:00:00"/>
    <d v="2022-10-13T00:00:00"/>
    <n v="32997.089999999997"/>
    <x v="1"/>
    <n v="18"/>
    <n v="2"/>
    <n v="2022"/>
    <x v="0"/>
  </r>
  <r>
    <s v="CLM-10427"/>
    <d v="2021-02-16T00:00:00"/>
    <d v="2021-04-15T00:00:00"/>
    <d v="2022-04-17T00:00:00"/>
    <n v="67330.05"/>
    <x v="1"/>
    <n v="14"/>
    <n v="2"/>
    <n v="2022"/>
    <x v="0"/>
  </r>
  <r>
    <s v="CLM-10765"/>
    <d v="2020-06-22T00:00:00"/>
    <d v="2020-08-05T00:00:00"/>
    <d v="2020-10-17T00:00:00"/>
    <n v="36479.769999999997"/>
    <x v="3"/>
    <n v="4"/>
    <n v="1"/>
    <n v="2020"/>
    <x v="1"/>
  </r>
  <r>
    <s v="CLM-10730"/>
    <d v="2020-03-13T00:00:00"/>
    <d v="2020-03-31T00:00:00"/>
    <d v="2020-04-26T00:00:00"/>
    <n v="-5701.58"/>
    <x v="3"/>
    <n v="1"/>
    <n v="1"/>
    <n v="2020"/>
    <x v="1"/>
  </r>
  <r>
    <s v="CLM-10377"/>
    <d v="2020-05-25T00:00:00"/>
    <d v="2020-07-25T00:00:00"/>
    <d v="2020-10-21T00:00:00"/>
    <n v="16869.02"/>
    <x v="3"/>
    <n v="5"/>
    <n v="1"/>
    <n v="2020"/>
    <x v="1"/>
  </r>
  <r>
    <s v="CLM-10281"/>
    <d v="2024-08-06T00:00:00"/>
    <d v="2024-10-23T00:00:00"/>
    <d v="2024-11-23T00:00:00"/>
    <n v="48071.87"/>
    <x v="4"/>
    <n v="3"/>
    <n v="1"/>
    <n v="2024"/>
    <x v="1"/>
  </r>
  <r>
    <s v="CLM-10269"/>
    <d v="2021-06-28T00:00:00"/>
    <d v="2021-07-14T00:00:00"/>
    <d v="2021-08-10T00:00:00"/>
    <n v="11793.92"/>
    <x v="1"/>
    <n v="2"/>
    <n v="1"/>
    <n v="2021"/>
    <x v="1"/>
  </r>
  <r>
    <s v="CLM-10378"/>
    <d v="2023-10-04T00:00:00"/>
    <d v="2023-10-29T00:00:00"/>
    <d v="2024-10-26T00:00:00"/>
    <n v="63832.62"/>
    <x v="0"/>
    <n v="12"/>
    <n v="1"/>
    <n v="2024"/>
    <x v="0"/>
  </r>
  <r>
    <s v="CLM-10041"/>
    <d v="2023-01-01T00:00:00"/>
    <d v="2023-02-09T00:00:00"/>
    <d v="2024-01-16T00:00:00"/>
    <n v="-13532.34"/>
    <x v="0"/>
    <n v="12"/>
    <n v="1"/>
    <n v="2024"/>
    <x v="0"/>
  </r>
  <r>
    <s v="CLM-10379"/>
    <d v="2020-05-27T00:00:00"/>
    <d v="2020-08-22T00:00:00"/>
    <d v="2021-03-24T00:00:00"/>
    <n v="37689.58"/>
    <x v="3"/>
    <n v="10"/>
    <n v="1"/>
    <n v="2021"/>
    <x v="0"/>
  </r>
  <r>
    <s v="CLM-10507"/>
    <d v="2024-04-29T00:00:00"/>
    <d v="2024-05-01T00:00:00"/>
    <d v="2025-04-13T00:00:00"/>
    <n v="79402.350000000006"/>
    <x v="4"/>
    <n v="12"/>
    <n v="1"/>
    <n v="2025"/>
    <x v="0"/>
  </r>
  <r>
    <s v="CLM-10091"/>
    <d v="2022-03-03T00:00:00"/>
    <d v="2022-05-07T00:00:00"/>
    <d v="2023-03-06T00:00:00"/>
    <n v="-9942.1200000000008"/>
    <x v="2"/>
    <n v="12"/>
    <n v="1"/>
    <n v="2023"/>
    <x v="0"/>
  </r>
  <r>
    <s v="CLM-10069"/>
    <d v="2022-06-08T00:00:00"/>
    <d v="2022-06-14T00:00:00"/>
    <d v="2022-07-16T00:00:00"/>
    <n v="-15682.4"/>
    <x v="2"/>
    <n v="1"/>
    <n v="1"/>
    <n v="2022"/>
    <x v="1"/>
  </r>
  <r>
    <s v="CLM-10535"/>
    <d v="2024-04-14T00:00:00"/>
    <d v="2024-06-12T00:00:00"/>
    <d v="2024-07-23T00:00:00"/>
    <n v="41665.39"/>
    <x v="4"/>
    <n v="3"/>
    <n v="1"/>
    <n v="2024"/>
    <x v="1"/>
  </r>
  <r>
    <s v="CLM-10405"/>
    <d v="2021-01-28T00:00:00"/>
    <d v="2021-03-04T00:00:00"/>
    <d v="2022-11-29T00:00:00"/>
    <n v="51054.45"/>
    <x v="1"/>
    <n v="22"/>
    <n v="2"/>
    <n v="2022"/>
    <x v="0"/>
  </r>
  <r>
    <s v="CLM-10242"/>
    <d v="2021-10-25T00:00:00"/>
    <d v="2022-01-17T00:00:00"/>
    <d v="2022-05-04T00:00:00"/>
    <n v="-22064.76"/>
    <x v="1"/>
    <n v="7"/>
    <n v="1"/>
    <n v="2022"/>
    <x v="0"/>
  </r>
  <r>
    <s v="CLM-10729"/>
    <d v="2023-05-19T00:00:00"/>
    <d v="2023-07-10T00:00:00"/>
    <d v="2023-12-02T00:00:00"/>
    <n v="19152.11"/>
    <x v="0"/>
    <n v="7"/>
    <n v="1"/>
    <n v="2023"/>
    <x v="1"/>
  </r>
  <r>
    <s v="CLM-10517"/>
    <d v="2020-05-02T00:00:00"/>
    <d v="2020-06-19T00:00:00"/>
    <d v="2021-02-26T00:00:00"/>
    <n v="15348.73"/>
    <x v="3"/>
    <n v="9"/>
    <n v="1"/>
    <n v="2021"/>
    <x v="0"/>
  </r>
  <r>
    <s v="CLM-10470"/>
    <d v="2022-01-27T00:00:00"/>
    <d v="2022-03-29T00:00:00"/>
    <d v="2022-01-10T00:00:00"/>
    <n v="-11624.17"/>
    <x v="2"/>
    <n v="0"/>
    <n v="0"/>
    <n v="2022"/>
    <x v="1"/>
  </r>
  <r>
    <s v="CLM-10579"/>
    <d v="2020-07-05T00:00:00"/>
    <d v="2020-08-15T00:00:00"/>
    <d v="2021-02-28T00:00:00"/>
    <n v="18709.45"/>
    <x v="3"/>
    <n v="7"/>
    <n v="1"/>
    <n v="2021"/>
    <x v="0"/>
  </r>
  <r>
    <s v="CLM-10691"/>
    <d v="2021-02-13T00:00:00"/>
    <d v="2021-03-26T00:00:00"/>
    <d v="2021-08-19T00:00:00"/>
    <n v="22012.84"/>
    <x v="1"/>
    <n v="6"/>
    <n v="1"/>
    <n v="2021"/>
    <x v="1"/>
  </r>
  <r>
    <s v="CLM-10502"/>
    <d v="2021-03-22T00:00:00"/>
    <d v="2021-05-05T00:00:00"/>
    <d v="2021-06-20T00:00:00"/>
    <n v="24581.03"/>
    <x v="1"/>
    <n v="3"/>
    <n v="1"/>
    <n v="2021"/>
    <x v="1"/>
  </r>
  <r>
    <s v="CLM-10285"/>
    <d v="2020-12-02T00:00:00"/>
    <d v="2021-02-21T00:00:00"/>
    <d v="2021-05-28T00:00:00"/>
    <n v="37777.72"/>
    <x v="3"/>
    <n v="5"/>
    <n v="1"/>
    <n v="2021"/>
    <x v="0"/>
  </r>
  <r>
    <s v="CLM-10740"/>
    <d v="2022-08-24T00:00:00"/>
    <d v="2022-10-06T00:00:00"/>
    <d v="2023-04-29T00:00:00"/>
    <n v="3163.53"/>
    <x v="2"/>
    <n v="8"/>
    <n v="1"/>
    <n v="2023"/>
    <x v="0"/>
  </r>
  <r>
    <s v="CLM-10489"/>
    <d v="2021-06-29T00:00:00"/>
    <d v="2021-07-21T00:00:00"/>
    <d v="2022-04-25T00:00:00"/>
    <n v="-4843.6499999999996"/>
    <x v="1"/>
    <n v="10"/>
    <n v="1"/>
    <n v="2022"/>
    <x v="0"/>
  </r>
  <r>
    <s v="CLM-10169"/>
    <d v="2021-03-20T00:00:00"/>
    <d v="2021-04-11T00:00:00"/>
    <d v="2022-06-15T00:00:00"/>
    <n v="33591.5"/>
    <x v="1"/>
    <n v="15"/>
    <n v="2"/>
    <n v="2022"/>
    <x v="0"/>
  </r>
  <r>
    <s v="CLM-10046"/>
    <d v="2020-05-07T00:00:00"/>
    <d v="2020-07-18T00:00:00"/>
    <d v="2020-08-28T00:00:00"/>
    <n v="-6682.65"/>
    <x v="3"/>
    <n v="3"/>
    <n v="1"/>
    <n v="2020"/>
    <x v="1"/>
  </r>
  <r>
    <s v="CLM-10266"/>
    <d v="2022-06-30T00:00:00"/>
    <d v="2022-08-20T00:00:00"/>
    <d v="2023-02-16T00:00:00"/>
    <n v="18977.36"/>
    <x v="2"/>
    <n v="8"/>
    <n v="1"/>
    <n v="2023"/>
    <x v="0"/>
  </r>
  <r>
    <s v="CLM-10536"/>
    <d v="2024-09-19T00:00:00"/>
    <d v="2024-11-22T00:00:00"/>
    <d v="2025-04-08T00:00:00"/>
    <n v="36151.49"/>
    <x v="4"/>
    <n v="7"/>
    <n v="1"/>
    <n v="2025"/>
    <x v="0"/>
  </r>
  <r>
    <s v="CLM-10547"/>
    <d v="2020-11-28T00:00:00"/>
    <d v="2021-02-13T00:00:00"/>
    <d v="2021-09-03T00:00:00"/>
    <n v="-11866.45"/>
    <x v="3"/>
    <n v="10"/>
    <n v="1"/>
    <n v="2021"/>
    <x v="0"/>
  </r>
  <r>
    <s v="CLM-10449"/>
    <d v="2021-03-25T00:00:00"/>
    <d v="2021-05-31T00:00:00"/>
    <d v="2022-01-08T00:00:00"/>
    <n v="71375.27"/>
    <x v="1"/>
    <n v="10"/>
    <n v="1"/>
    <n v="2022"/>
    <x v="0"/>
  </r>
  <r>
    <s v="CLM-10721"/>
    <d v="2022-05-11T00:00:00"/>
    <m/>
    <d v="2024-05-12T00:00:00"/>
    <n v="75414.8"/>
    <x v="2"/>
    <n v="24"/>
    <n v="2"/>
    <n v="2024"/>
    <x v="2"/>
  </r>
  <r>
    <s v="CLM-10060"/>
    <d v="2023-02-13T00:00:00"/>
    <d v="2023-03-14T00:00:00"/>
    <d v="2023-11-06T00:00:00"/>
    <n v="58003.17"/>
    <x v="0"/>
    <n v="9"/>
    <n v="1"/>
    <n v="2023"/>
    <x v="1"/>
  </r>
  <r>
    <s v="CLM-10726"/>
    <d v="2021-09-17T00:00:00"/>
    <d v="2021-11-10T00:00:00"/>
    <d v="2022-04-25T00:00:00"/>
    <n v="12200.9"/>
    <x v="1"/>
    <n v="7"/>
    <n v="1"/>
    <n v="2022"/>
    <x v="0"/>
  </r>
  <r>
    <s v="CLM-10013"/>
    <d v="2022-08-29T00:00:00"/>
    <d v="2022-11-06T00:00:00"/>
    <d v="2023-11-21T00:00:00"/>
    <n v="53724.85"/>
    <x v="2"/>
    <n v="15"/>
    <n v="2"/>
    <n v="2023"/>
    <x v="0"/>
  </r>
  <r>
    <s v="CLM-10198"/>
    <d v="2021-04-17T00:00:00"/>
    <d v="2021-07-06T00:00:00"/>
    <d v="2021-10-06T00:00:00"/>
    <n v="51187.48"/>
    <x v="1"/>
    <n v="6"/>
    <n v="1"/>
    <n v="2021"/>
    <x v="1"/>
  </r>
  <r>
    <s v="CLM-10106"/>
    <d v="2021-12-04T00:00:00"/>
    <d v="2022-01-01T00:00:00"/>
    <d v="2023-05-09T00:00:00"/>
    <n v="52672.14"/>
    <x v="1"/>
    <n v="17"/>
    <n v="2"/>
    <n v="2023"/>
    <x v="2"/>
  </r>
  <r>
    <s v="CLM-10050"/>
    <d v="2023-10-05T00:00:00"/>
    <d v="2023-10-07T00:00:00"/>
    <d v="2024-09-03T00:00:00"/>
    <n v="50254.47"/>
    <x v="0"/>
    <n v="11"/>
    <n v="1"/>
    <n v="2024"/>
    <x v="0"/>
  </r>
  <r>
    <s v="CLM-10642"/>
    <d v="2021-04-07T00:00:00"/>
    <m/>
    <d v="2021-04-29T00:00:00"/>
    <n v="42424.24"/>
    <x v="1"/>
    <n v="0"/>
    <n v="0"/>
    <n v="2021"/>
    <x v="1"/>
  </r>
  <r>
    <s v="CLM-10771"/>
    <d v="2022-08-19T00:00:00"/>
    <d v="2022-09-08T00:00:00"/>
    <d v="2024-05-19T00:00:00"/>
    <n v="36462.74"/>
    <x v="2"/>
    <n v="21"/>
    <n v="2"/>
    <n v="2024"/>
    <x v="2"/>
  </r>
  <r>
    <s v="CLM-10383"/>
    <d v="2023-06-20T00:00:00"/>
    <d v="2023-07-10T00:00:00"/>
    <d v="2024-06-09T00:00:00"/>
    <n v="57149.77"/>
    <x v="0"/>
    <n v="12"/>
    <n v="1"/>
    <n v="2024"/>
    <x v="0"/>
  </r>
  <r>
    <s v="CLM-10188"/>
    <d v="2020-04-03T00:00:00"/>
    <d v="2020-05-28T00:00:00"/>
    <d v="2020-08-29T00:00:00"/>
    <n v="35279.07"/>
    <x v="3"/>
    <n v="4"/>
    <n v="1"/>
    <n v="2020"/>
    <x v="1"/>
  </r>
  <r>
    <s v="CLM-10109"/>
    <d v="2020-09-29T00:00:00"/>
    <d v="2020-10-24T00:00:00"/>
    <d v="2022-02-14T00:00:00"/>
    <n v="56604.69"/>
    <x v="3"/>
    <n v="17"/>
    <n v="2"/>
    <n v="2022"/>
    <x v="2"/>
  </r>
  <r>
    <s v="CLM-10206"/>
    <d v="2022-09-16T00:00:00"/>
    <d v="2022-12-11T00:00:00"/>
    <d v="2023-04-24T00:00:00"/>
    <n v="12081.98"/>
    <x v="2"/>
    <n v="7"/>
    <n v="1"/>
    <n v="2023"/>
    <x v="0"/>
  </r>
  <r>
    <s v="CLM-10525"/>
    <d v="2020-01-15T00:00:00"/>
    <d v="2020-02-13T00:00:00"/>
    <d v="2020-05-06T00:00:00"/>
    <n v="44149.2"/>
    <x v="3"/>
    <n v="4"/>
    <n v="1"/>
    <n v="2020"/>
    <x v="1"/>
  </r>
  <r>
    <s v="CLM-10722"/>
    <d v="2021-08-07T00:00:00"/>
    <d v="2021-09-22T00:00:00"/>
    <d v="2022-04-20T00:00:00"/>
    <n v="57420.52"/>
    <x v="1"/>
    <n v="8"/>
    <n v="1"/>
    <n v="2022"/>
    <x v="0"/>
  </r>
  <r>
    <s v="CLM-10709"/>
    <d v="2020-11-01T00:00:00"/>
    <d v="2021-01-16T00:00:00"/>
    <d v="2021-02-01T00:00:00"/>
    <n v="75192.69"/>
    <x v="3"/>
    <n v="3"/>
    <n v="1"/>
    <n v="2021"/>
    <x v="0"/>
  </r>
  <r>
    <s v="CLM-10308"/>
    <d v="2023-06-13T00:00:00"/>
    <d v="2023-08-18T00:00:00"/>
    <d v="2024-01-12T00:00:00"/>
    <n v="32424.43"/>
    <x v="0"/>
    <n v="7"/>
    <n v="1"/>
    <n v="2024"/>
    <x v="0"/>
  </r>
  <r>
    <s v="CLM-10764"/>
    <d v="2022-11-07T00:00:00"/>
    <d v="2023-02-03T00:00:00"/>
    <d v="2024-03-27T00:00:00"/>
    <n v="20379.98"/>
    <x v="2"/>
    <n v="16"/>
    <n v="2"/>
    <n v="2024"/>
    <x v="2"/>
  </r>
  <r>
    <s v="CLM-10380"/>
    <d v="2021-11-25T00:00:00"/>
    <d v="2022-02-02T00:00:00"/>
    <d v="2022-08-08T00:00:00"/>
    <n v="34453.74"/>
    <x v="1"/>
    <n v="9"/>
    <n v="1"/>
    <n v="2022"/>
    <x v="0"/>
  </r>
  <r>
    <s v="CLM-10612"/>
    <d v="2023-03-20T00:00:00"/>
    <d v="2023-04-13T00:00:00"/>
    <d v="2023-07-24T00:00:00"/>
    <n v="14037.94"/>
    <x v="0"/>
    <n v="4"/>
    <n v="1"/>
    <n v="2023"/>
    <x v="1"/>
  </r>
  <r>
    <s v="CLM-10401"/>
    <d v="2022-06-07T00:00:00"/>
    <d v="2022-08-10T00:00:00"/>
    <d v="2023-12-13T00:00:00"/>
    <n v="84039.81"/>
    <x v="2"/>
    <n v="18"/>
    <n v="2"/>
    <n v="2023"/>
    <x v="0"/>
  </r>
  <r>
    <s v="CLM-10348"/>
    <d v="2024-09-14T00:00:00"/>
    <d v="2024-09-30T00:00:00"/>
    <d v="2025-04-19T00:00:00"/>
    <n v="81844.27"/>
    <x v="4"/>
    <n v="7"/>
    <n v="1"/>
    <n v="2025"/>
    <x v="0"/>
  </r>
  <r>
    <s v="CLM-10299"/>
    <d v="2024-06-04T00:00:00"/>
    <d v="2024-07-08T00:00:00"/>
    <d v="2025-01-22T00:00:00"/>
    <n v="-16450.849999999999"/>
    <x v="4"/>
    <n v="7"/>
    <n v="1"/>
    <n v="2025"/>
    <x v="0"/>
  </r>
  <r>
    <s v="CLM-10550"/>
    <d v="2024-03-14T00:00:00"/>
    <d v="2024-04-23T00:00:00"/>
    <d v="2024-09-09T00:00:00"/>
    <n v="24229.09"/>
    <x v="4"/>
    <n v="6"/>
    <n v="1"/>
    <n v="2024"/>
    <x v="1"/>
  </r>
  <r>
    <s v="CLM-10524"/>
    <d v="2021-07-10T00:00:00"/>
    <d v="2021-08-06T00:00:00"/>
    <d v="2022-12-09T00:00:00"/>
    <n v="80310.81"/>
    <x v="1"/>
    <n v="17"/>
    <n v="2"/>
    <n v="2022"/>
    <x v="0"/>
  </r>
  <r>
    <s v="CLM-10206"/>
    <d v="2022-09-16T00:00:00"/>
    <d v="2022-12-11T00:00:00"/>
    <d v="2023-10-12T00:00:00"/>
    <n v="80404.06"/>
    <x v="2"/>
    <n v="13"/>
    <n v="2"/>
    <n v="2023"/>
    <x v="0"/>
  </r>
  <r>
    <s v="CLM-10009"/>
    <d v="2022-02-22T00:00:00"/>
    <d v="2022-03-08T00:00:00"/>
    <d v="2023-07-24T00:00:00"/>
    <n v="-4879.62"/>
    <x v="2"/>
    <n v="17"/>
    <n v="2"/>
    <n v="2023"/>
    <x v="0"/>
  </r>
  <r>
    <s v="CLM-10469"/>
    <d v="2020-08-18T00:00:00"/>
    <d v="2020-10-31T00:00:00"/>
    <d v="2021-07-02T00:00:00"/>
    <n v="36721.96"/>
    <x v="3"/>
    <n v="11"/>
    <n v="1"/>
    <n v="2021"/>
    <x v="0"/>
  </r>
  <r>
    <s v="CLM-10263"/>
    <d v="2022-05-02T00:00:00"/>
    <d v="2022-05-25T00:00:00"/>
    <d v="2022-09-04T00:00:00"/>
    <n v="9287.0400000000009"/>
    <x v="2"/>
    <n v="4"/>
    <n v="1"/>
    <n v="2022"/>
    <x v="1"/>
  </r>
  <r>
    <s v="CLM-10019"/>
    <d v="2023-11-17T00:00:00"/>
    <d v="2023-12-03T00:00:00"/>
    <d v="2024-03-21T00:00:00"/>
    <n v="77704.91"/>
    <x v="0"/>
    <n v="4"/>
    <n v="1"/>
    <n v="2024"/>
    <x v="0"/>
  </r>
  <r>
    <s v="CLM-10075"/>
    <d v="2021-06-20T00:00:00"/>
    <d v="2021-09-11T00:00:00"/>
    <d v="2022-06-30T00:00:00"/>
    <n v="28091.77"/>
    <x v="1"/>
    <n v="12"/>
    <n v="1"/>
    <n v="2022"/>
    <x v="0"/>
  </r>
  <r>
    <s v="CLM-10196"/>
    <d v="2022-01-05T00:00:00"/>
    <d v="2022-02-18T00:00:00"/>
    <d v="2023-02-19T00:00:00"/>
    <n v="58296.08"/>
    <x v="2"/>
    <n v="13"/>
    <n v="2"/>
    <n v="2023"/>
    <x v="0"/>
  </r>
  <r>
    <s v="CLM-10008"/>
    <d v="2022-06-09T00:00:00"/>
    <d v="2022-08-03T00:00:00"/>
    <d v="2023-07-29T00:00:00"/>
    <n v="67938.37"/>
    <x v="2"/>
    <n v="13"/>
    <n v="2"/>
    <n v="2023"/>
    <x v="0"/>
  </r>
  <r>
    <s v="CLM-10433"/>
    <d v="2023-02-26T00:00:00"/>
    <d v="2023-04-18T00:00:00"/>
    <d v="2023-08-04T00:00:00"/>
    <n v="41970.35"/>
    <x v="0"/>
    <n v="6"/>
    <n v="1"/>
    <n v="2023"/>
    <x v="1"/>
  </r>
  <r>
    <s v="CLM-10576"/>
    <d v="2022-12-16T00:00:00"/>
    <d v="2023-02-17T00:00:00"/>
    <d v="2024-03-11T00:00:00"/>
    <n v="10329.629999999999"/>
    <x v="2"/>
    <n v="15"/>
    <n v="2"/>
    <n v="2024"/>
    <x v="2"/>
  </r>
  <r>
    <s v="CLM-10091"/>
    <d v="2022-03-03T00:00:00"/>
    <d v="2022-05-07T00:00:00"/>
    <d v="2022-07-19T00:00:00"/>
    <n v="44197.9"/>
    <x v="2"/>
    <n v="4"/>
    <n v="1"/>
    <n v="2022"/>
    <x v="1"/>
  </r>
  <r>
    <s v="CLM-10734"/>
    <d v="2020-05-02T00:00:00"/>
    <d v="2020-06-10T00:00:00"/>
    <d v="2021-01-06T00:00:00"/>
    <n v="35524.54"/>
    <x v="3"/>
    <n v="8"/>
    <n v="1"/>
    <n v="2021"/>
    <x v="0"/>
  </r>
  <r>
    <s v="CLM-10370"/>
    <d v="2023-07-19T00:00:00"/>
    <d v="2023-08-05T00:00:00"/>
    <d v="2024-12-02T00:00:00"/>
    <n v="58119.5"/>
    <x v="0"/>
    <n v="17"/>
    <n v="2"/>
    <n v="2024"/>
    <x v="0"/>
  </r>
  <r>
    <s v="CLM-10237"/>
    <d v="2024-04-20T00:00:00"/>
    <d v="2024-05-30T00:00:00"/>
    <d v="2024-12-01T00:00:00"/>
    <n v="-22498.16"/>
    <x v="4"/>
    <n v="8"/>
    <n v="1"/>
    <n v="2024"/>
    <x v="1"/>
  </r>
  <r>
    <s v="CLM-10079"/>
    <d v="2020-08-20T00:00:00"/>
    <d v="2020-11-05T00:00:00"/>
    <d v="2021-07-20T00:00:00"/>
    <n v="22956.17"/>
    <x v="3"/>
    <n v="11"/>
    <n v="1"/>
    <n v="2021"/>
    <x v="0"/>
  </r>
  <r>
    <s v="CLM-10546"/>
    <d v="2020-09-10T00:00:00"/>
    <d v="2020-12-03T00:00:00"/>
    <d v="2021-01-25T00:00:00"/>
    <n v="31932.720000000001"/>
    <x v="3"/>
    <n v="4"/>
    <n v="1"/>
    <n v="2021"/>
    <x v="0"/>
  </r>
  <r>
    <s v="CLM-10374"/>
    <d v="2022-01-12T00:00:00"/>
    <d v="2022-02-11T00:00:00"/>
    <d v="2023-02-27T00:00:00"/>
    <n v="10343.32"/>
    <x v="2"/>
    <n v="13"/>
    <n v="2"/>
    <n v="2023"/>
    <x v="0"/>
  </r>
  <r>
    <s v="CLM-10412"/>
    <d v="2020-05-22T00:00:00"/>
    <d v="2020-05-24T00:00:00"/>
    <d v="2020-08-15T00:00:00"/>
    <n v="44512.84"/>
    <x v="3"/>
    <n v="3"/>
    <n v="1"/>
    <n v="2020"/>
    <x v="1"/>
  </r>
  <r>
    <s v="CLM-10278"/>
    <d v="2022-12-07T00:00:00"/>
    <d v="2022-12-16T00:00:00"/>
    <d v="2023-03-03T00:00:00"/>
    <n v="52803.5"/>
    <x v="2"/>
    <n v="3"/>
    <n v="1"/>
    <n v="2023"/>
    <x v="0"/>
  </r>
  <r>
    <s v="CLM-10563"/>
    <d v="2023-12-06T00:00:00"/>
    <d v="2024-02-26T00:00:00"/>
    <d v="2025-01-28T00:00:00"/>
    <n v="54455.51"/>
    <x v="0"/>
    <n v="13"/>
    <n v="2"/>
    <n v="2025"/>
    <x v="2"/>
  </r>
  <r>
    <s v="CLM-10063"/>
    <d v="2021-08-14T00:00:00"/>
    <d v="2021-10-09T00:00:00"/>
    <d v="2022-02-05T00:00:00"/>
    <n v="-15779.65"/>
    <x v="1"/>
    <n v="6"/>
    <n v="1"/>
    <n v="2022"/>
    <x v="0"/>
  </r>
  <r>
    <s v="CLM-10140"/>
    <d v="2021-08-19T00:00:00"/>
    <d v="2021-09-23T00:00:00"/>
    <d v="2022-06-27T00:00:00"/>
    <n v="82887.62"/>
    <x v="1"/>
    <n v="10"/>
    <n v="1"/>
    <n v="2022"/>
    <x v="0"/>
  </r>
  <r>
    <s v="CLM-10518"/>
    <d v="2024-07-01T00:00:00"/>
    <d v="2024-08-11T00:00:00"/>
    <d v="2025-03-14T00:00:00"/>
    <n v="3065.83"/>
    <x v="4"/>
    <n v="8"/>
    <n v="1"/>
    <n v="2025"/>
    <x v="0"/>
  </r>
  <r>
    <s v="CLM-10654"/>
    <d v="2021-12-04T00:00:00"/>
    <d v="2022-01-31T00:00:00"/>
    <d v="2023-11-10T00:00:00"/>
    <n v="67352.350000000006"/>
    <x v="1"/>
    <n v="23"/>
    <n v="2"/>
    <n v="2023"/>
    <x v="2"/>
  </r>
  <r>
    <s v="CLM-10532"/>
    <d v="2023-12-24T00:00:00"/>
    <d v="2024-02-25T00:00:00"/>
    <d v="2025-05-08T00:00:00"/>
    <n v="28094.65"/>
    <x v="0"/>
    <n v="17"/>
    <n v="2"/>
    <n v="2025"/>
    <x v="2"/>
  </r>
  <r>
    <s v="CLM-10072"/>
    <d v="2021-07-24T00:00:00"/>
    <d v="2021-09-24T00:00:00"/>
    <d v="2022-04-07T00:00:00"/>
    <n v="-15961.01"/>
    <x v="1"/>
    <n v="9"/>
    <n v="1"/>
    <n v="2022"/>
    <x v="0"/>
  </r>
  <r>
    <s v="CLM-10693"/>
    <d v="2024-03-20T00:00:00"/>
    <d v="2024-03-24T00:00:00"/>
    <d v="2024-06-03T00:00:00"/>
    <n v="-2631.8"/>
    <x v="4"/>
    <n v="3"/>
    <n v="1"/>
    <n v="2024"/>
    <x v="1"/>
  </r>
  <r>
    <s v="CLM-10675"/>
    <d v="2023-03-27T00:00:00"/>
    <d v="2023-04-08T00:00:00"/>
    <d v="2023-09-08T00:00:00"/>
    <n v="10005.91"/>
    <x v="0"/>
    <n v="6"/>
    <n v="1"/>
    <n v="2023"/>
    <x v="1"/>
  </r>
  <r>
    <s v="CLM-10001"/>
    <d v="2020-07-08T00:00:00"/>
    <d v="2020-09-11T00:00:00"/>
    <d v="2021-09-03T00:00:00"/>
    <n v="81199.100000000006"/>
    <x v="3"/>
    <n v="14"/>
    <n v="2"/>
    <n v="2021"/>
    <x v="0"/>
  </r>
  <r>
    <s v="CLM-10746"/>
    <d v="2024-05-04T00:00:00"/>
    <d v="2024-05-28T00:00:00"/>
    <d v="2025-05-17T00:00:00"/>
    <n v="-21584.79"/>
    <x v="4"/>
    <n v="12"/>
    <n v="1"/>
    <n v="2025"/>
    <x v="0"/>
  </r>
  <r>
    <s v="CLM-10614"/>
    <d v="2022-11-17T00:00:00"/>
    <d v="2023-02-03T00:00:00"/>
    <d v="2023-06-27T00:00:00"/>
    <n v="5892.94"/>
    <x v="2"/>
    <n v="7"/>
    <n v="1"/>
    <n v="2023"/>
    <x v="0"/>
  </r>
  <r>
    <s v="CLM-10250"/>
    <d v="2020-01-05T00:00:00"/>
    <d v="2020-03-11T00:00:00"/>
    <d v="2020-04-11T00:00:00"/>
    <n v="24999.88"/>
    <x v="3"/>
    <n v="3"/>
    <n v="1"/>
    <n v="2020"/>
    <x v="1"/>
  </r>
  <r>
    <s v="CLM-10129"/>
    <d v="2020-03-20T00:00:00"/>
    <d v="2020-04-22T00:00:00"/>
    <d v="2020-07-01T00:00:00"/>
    <n v="55838.05"/>
    <x v="3"/>
    <n v="4"/>
    <n v="1"/>
    <n v="2020"/>
    <x v="1"/>
  </r>
  <r>
    <s v="CLM-10467"/>
    <d v="2020-05-09T00:00:00"/>
    <d v="2020-07-25T00:00:00"/>
    <d v="2021-05-27T00:00:00"/>
    <n v="47233.24"/>
    <x v="3"/>
    <n v="12"/>
    <n v="1"/>
    <n v="2021"/>
    <x v="0"/>
  </r>
  <r>
    <s v="CLM-10265"/>
    <d v="2022-10-11T00:00:00"/>
    <d v="2022-11-08T00:00:00"/>
    <d v="2023-01-03T00:00:00"/>
    <n v="83937.11"/>
    <x v="2"/>
    <n v="3"/>
    <n v="1"/>
    <n v="2023"/>
    <x v="0"/>
  </r>
  <r>
    <s v="CLM-10005"/>
    <d v="2021-06-15T00:00:00"/>
    <d v="2021-07-16T00:00:00"/>
    <d v="2022-02-23T00:00:00"/>
    <n v="35151.599999999999"/>
    <x v="1"/>
    <n v="8"/>
    <n v="1"/>
    <n v="2022"/>
    <x v="0"/>
  </r>
  <r>
    <s v="CLM-10473"/>
    <d v="2021-02-10T00:00:00"/>
    <d v="2021-04-08T00:00:00"/>
    <d v="2021-08-07T00:00:00"/>
    <n v="71299.17"/>
    <x v="1"/>
    <n v="6"/>
    <n v="1"/>
    <n v="2021"/>
    <x v="1"/>
  </r>
  <r>
    <s v="CLM-10103"/>
    <d v="2022-07-01T00:00:00"/>
    <d v="2022-07-12T00:00:00"/>
    <d v="2022-12-07T00:00:00"/>
    <n v="71858.509999999995"/>
    <x v="2"/>
    <n v="5"/>
    <n v="1"/>
    <n v="2022"/>
    <x v="1"/>
  </r>
  <r>
    <s v="CLM-10729"/>
    <d v="2023-05-19T00:00:00"/>
    <d v="2023-07-10T00:00:00"/>
    <d v="2024-05-05T00:00:00"/>
    <n v="3270.08"/>
    <x v="0"/>
    <n v="12"/>
    <n v="1"/>
    <n v="2024"/>
    <x v="0"/>
  </r>
  <r>
    <s v="CLM-10065"/>
    <d v="2023-05-05T00:00:00"/>
    <d v="2023-07-30T00:00:00"/>
    <d v="2024-01-22T00:00:00"/>
    <n v="31052.26"/>
    <x v="0"/>
    <n v="8"/>
    <n v="1"/>
    <n v="2024"/>
    <x v="0"/>
  </r>
  <r>
    <s v="CLM-10680"/>
    <d v="2022-12-29T00:00:00"/>
    <d v="2023-01-30T00:00:00"/>
    <d v="2023-08-14T00:00:00"/>
    <n v="13061.65"/>
    <x v="2"/>
    <n v="8"/>
    <n v="1"/>
    <n v="2023"/>
    <x v="0"/>
  </r>
  <r>
    <s v="CLM-10010"/>
    <d v="2022-07-10T00:00:00"/>
    <d v="2022-09-21T00:00:00"/>
    <d v="2023-04-20T00:00:00"/>
    <n v="10179.08"/>
    <x v="2"/>
    <n v="9"/>
    <n v="1"/>
    <n v="2023"/>
    <x v="0"/>
  </r>
  <r>
    <s v="CLM-10538"/>
    <d v="2021-12-30T00:00:00"/>
    <d v="2022-03-26T00:00:00"/>
    <d v="2022-07-05T00:00:00"/>
    <n v="30234.84"/>
    <x v="1"/>
    <n v="7"/>
    <n v="1"/>
    <n v="2022"/>
    <x v="0"/>
  </r>
  <r>
    <s v="CLM-10243"/>
    <d v="2024-08-29T00:00:00"/>
    <d v="2024-09-11T00:00:00"/>
    <d v="2025-01-27T00:00:00"/>
    <n v="57570.11"/>
    <x v="4"/>
    <n v="5"/>
    <n v="1"/>
    <n v="2025"/>
    <x v="0"/>
  </r>
  <r>
    <s v="CLM-10731"/>
    <d v="2020-04-05T00:00:00"/>
    <d v="2020-05-31T00:00:00"/>
    <d v="2021-12-07T00:00:00"/>
    <n v="51658.99"/>
    <x v="3"/>
    <n v="20"/>
    <n v="2"/>
    <n v="2021"/>
    <x v="0"/>
  </r>
  <r>
    <s v="CLM-10270"/>
    <d v="2023-06-06T00:00:00"/>
    <d v="2023-08-19T00:00:00"/>
    <d v="2024-02-16T00:00:00"/>
    <n v="82994.42"/>
    <x v="0"/>
    <n v="8"/>
    <n v="1"/>
    <n v="2024"/>
    <x v="0"/>
  </r>
  <r>
    <s v="CLM-10450"/>
    <d v="2021-07-26T00:00:00"/>
    <d v="2021-09-22T00:00:00"/>
    <d v="2022-01-02T00:00:00"/>
    <n v="15678.91"/>
    <x v="1"/>
    <n v="6"/>
    <n v="1"/>
    <n v="2022"/>
    <x v="0"/>
  </r>
  <r>
    <s v="CLM-10242"/>
    <d v="2021-10-25T00:00:00"/>
    <d v="2022-01-17T00:00:00"/>
    <d v="2022-02-14T00:00:00"/>
    <n v="73189.429999999993"/>
    <x v="1"/>
    <n v="4"/>
    <n v="1"/>
    <n v="2022"/>
    <x v="0"/>
  </r>
  <r>
    <s v="CLM-10035"/>
    <d v="2023-06-12T00:00:00"/>
    <d v="2023-08-11T00:00:00"/>
    <d v="2024-05-25T00:00:00"/>
    <n v="26488.75"/>
    <x v="0"/>
    <n v="11"/>
    <n v="1"/>
    <n v="2024"/>
    <x v="0"/>
  </r>
  <r>
    <s v="CLM-10490"/>
    <d v="2024-09-16T00:00:00"/>
    <d v="2024-09-23T00:00:00"/>
    <d v="2025-05-09T00:00:00"/>
    <n v="33350.01"/>
    <x v="4"/>
    <n v="8"/>
    <n v="1"/>
    <n v="2025"/>
    <x v="0"/>
  </r>
  <r>
    <s v="CLM-10031"/>
    <d v="2020-06-09T00:00:00"/>
    <d v="2020-08-27T00:00:00"/>
    <d v="2020-10-29T00:00:00"/>
    <n v="34390.160000000003"/>
    <x v="3"/>
    <n v="4"/>
    <n v="1"/>
    <n v="2020"/>
    <x v="1"/>
  </r>
  <r>
    <s v="CLM-10354"/>
    <d v="2022-12-21T00:00:00"/>
    <d v="2022-12-23T00:00:00"/>
    <d v="2024-07-16T00:00:00"/>
    <n v="61991"/>
    <x v="2"/>
    <n v="19"/>
    <n v="2"/>
    <n v="2024"/>
    <x v="2"/>
  </r>
  <r>
    <s v="CLM-10292"/>
    <d v="2020-04-20T00:00:00"/>
    <d v="2020-05-25T00:00:00"/>
    <d v="2021-05-03T00:00:00"/>
    <n v="60200.17"/>
    <x v="3"/>
    <n v="13"/>
    <n v="2"/>
    <n v="2021"/>
    <x v="0"/>
  </r>
  <r>
    <s v="CLM-10188"/>
    <d v="2020-04-03T00:00:00"/>
    <d v="2020-05-28T00:00:00"/>
    <d v="2020-10-05T00:00:00"/>
    <n v="73268.100000000006"/>
    <x v="3"/>
    <n v="6"/>
    <n v="1"/>
    <n v="2020"/>
    <x v="1"/>
  </r>
  <r>
    <s v="CLM-10283"/>
    <d v="2022-06-16T00:00:00"/>
    <m/>
    <d v="2024-03-05T00:00:00"/>
    <n v="64137.84"/>
    <x v="2"/>
    <n v="21"/>
    <n v="2"/>
    <n v="2024"/>
    <x v="2"/>
  </r>
  <r>
    <s v="CLM-10674"/>
    <d v="2024-02-22T00:00:00"/>
    <d v="2024-04-09T00:00:00"/>
    <d v="2024-12-14T00:00:00"/>
    <n v="74469.25"/>
    <x v="4"/>
    <n v="10"/>
    <n v="1"/>
    <n v="2024"/>
    <x v="1"/>
  </r>
  <r>
    <s v="CLM-10164"/>
    <d v="2023-05-27T00:00:00"/>
    <d v="2023-06-08T00:00:00"/>
    <d v="2025-02-02T00:00:00"/>
    <n v="61015.27"/>
    <x v="0"/>
    <n v="21"/>
    <n v="2"/>
    <n v="2025"/>
    <x v="2"/>
  </r>
  <r>
    <s v="CLM-10105"/>
    <d v="2024-03-28T00:00:00"/>
    <d v="2024-05-31T00:00:00"/>
    <d v="2025-02-18T00:00:00"/>
    <n v="18581.05"/>
    <x v="4"/>
    <n v="11"/>
    <n v="1"/>
    <n v="2025"/>
    <x v="0"/>
  </r>
  <r>
    <s v="CLM-10205"/>
    <d v="2020-05-07T00:00:00"/>
    <d v="2020-05-31T00:00:00"/>
    <d v="2022-02-25T00:00:00"/>
    <n v="52240.63"/>
    <x v="3"/>
    <n v="21"/>
    <n v="2"/>
    <n v="2022"/>
    <x v="2"/>
  </r>
  <r>
    <s v="CLM-10745"/>
    <d v="2020-09-17T00:00:00"/>
    <d v="2020-11-16T00:00:00"/>
    <d v="2021-04-07T00:00:00"/>
    <n v="-1821.21"/>
    <x v="3"/>
    <n v="7"/>
    <n v="1"/>
    <n v="2021"/>
    <x v="0"/>
  </r>
  <r>
    <s v="CLM-10136"/>
    <d v="2024-05-01T00:00:00"/>
    <d v="2024-06-03T00:00:00"/>
    <d v="2025-03-20T00:00:00"/>
    <n v="74692.52"/>
    <x v="4"/>
    <n v="10"/>
    <n v="1"/>
    <n v="2025"/>
    <x v="0"/>
  </r>
  <r>
    <s v="CLM-10155"/>
    <d v="2022-10-26T00:00:00"/>
    <d v="2022-12-24T00:00:00"/>
    <d v="2023-07-09T00:00:00"/>
    <n v="-16303.81"/>
    <x v="2"/>
    <n v="9"/>
    <n v="1"/>
    <n v="2023"/>
    <x v="0"/>
  </r>
  <r>
    <s v="CLM-10268"/>
    <d v="2023-11-02T00:00:00"/>
    <d v="2023-12-19T00:00:00"/>
    <d v="2023-09-24T00:00:00"/>
    <n v="68576.84"/>
    <x v="0"/>
    <n v="-2"/>
    <n v="0"/>
    <n v="2023"/>
    <x v="1"/>
  </r>
  <r>
    <s v="CLM-10358"/>
    <d v="2020-05-24T00:00:00"/>
    <d v="2020-08-17T00:00:00"/>
    <d v="2022-01-12T00:00:00"/>
    <n v="57445.34"/>
    <x v="3"/>
    <n v="20"/>
    <n v="2"/>
    <n v="2022"/>
    <x v="2"/>
  </r>
  <r>
    <s v="CLM-10755"/>
    <d v="2020-07-02T00:00:00"/>
    <m/>
    <d v="2020-11-03T00:00:00"/>
    <n v="8495.51"/>
    <x v="3"/>
    <n v="4"/>
    <n v="1"/>
    <n v="2020"/>
    <x v="1"/>
  </r>
  <r>
    <s v="CLM-10286"/>
    <d v="2024-12-13T00:00:00"/>
    <d v="2025-02-15T00:00:00"/>
    <d v="2025-05-26T00:00:00"/>
    <n v="59143.49"/>
    <x v="4"/>
    <n v="5"/>
    <n v="1"/>
    <n v="2025"/>
    <x v="0"/>
  </r>
  <r>
    <s v="CLM-10541"/>
    <d v="2020-09-07T00:00:00"/>
    <d v="2020-10-31T00:00:00"/>
    <d v="2021-08-25T00:00:00"/>
    <n v="14133"/>
    <x v="3"/>
    <n v="11"/>
    <n v="1"/>
    <n v="2021"/>
    <x v="0"/>
  </r>
  <r>
    <s v="CLM-10051"/>
    <d v="2021-10-02T00:00:00"/>
    <d v="2021-12-29T00:00:00"/>
    <d v="2022-05-20T00:00:00"/>
    <n v="47577.45"/>
    <x v="1"/>
    <n v="7"/>
    <n v="1"/>
    <n v="2022"/>
    <x v="0"/>
  </r>
  <r>
    <s v="CLM-10572"/>
    <d v="2022-01-05T00:00:00"/>
    <d v="2022-02-10T00:00:00"/>
    <d v="2022-03-09T00:00:00"/>
    <n v="39876.35"/>
    <x v="2"/>
    <n v="2"/>
    <n v="1"/>
    <n v="2022"/>
    <x v="1"/>
  </r>
  <r>
    <s v="CLM-10029"/>
    <d v="2021-03-21T00:00:00"/>
    <d v="2021-03-31T00:00:00"/>
    <d v="2021-11-21T00:00:00"/>
    <n v="46274.97"/>
    <x v="1"/>
    <n v="8"/>
    <n v="1"/>
    <n v="2021"/>
    <x v="1"/>
  </r>
  <r>
    <s v="CLM-10145"/>
    <d v="2020-01-21T00:00:00"/>
    <d v="2020-03-11T00:00:00"/>
    <d v="2020-06-19T00:00:00"/>
    <n v="66823.960000000006"/>
    <x v="3"/>
    <n v="5"/>
    <n v="1"/>
    <n v="2020"/>
    <x v="1"/>
  </r>
  <r>
    <s v="CLM-10767"/>
    <d v="2024-08-28T00:00:00"/>
    <d v="2024-10-26T00:00:00"/>
    <d v="2025-03-22T00:00:00"/>
    <n v="9113.4599999999991"/>
    <x v="4"/>
    <n v="7"/>
    <n v="1"/>
    <n v="2025"/>
    <x v="0"/>
  </r>
  <r>
    <s v="CLM-10137"/>
    <d v="2023-01-10T00:00:00"/>
    <d v="2023-02-11T00:00:00"/>
    <d v="2024-09-10T00:00:00"/>
    <n v="61653.53"/>
    <x v="0"/>
    <n v="20"/>
    <n v="2"/>
    <n v="2024"/>
    <x v="0"/>
  </r>
  <r>
    <s v="CLM-10490"/>
    <d v="2024-09-16T00:00:00"/>
    <d v="2024-09-23T00:00:00"/>
    <d v="2025-04-01T00:00:00"/>
    <n v="64298.46"/>
    <x v="4"/>
    <n v="7"/>
    <n v="1"/>
    <n v="2025"/>
    <x v="0"/>
  </r>
  <r>
    <s v="CLM-10180"/>
    <d v="2022-02-23T00:00:00"/>
    <d v="2022-04-26T00:00:00"/>
    <d v="2022-12-03T00:00:00"/>
    <n v="-16500.13"/>
    <x v="2"/>
    <n v="10"/>
    <n v="1"/>
    <n v="2022"/>
    <x v="1"/>
  </r>
  <r>
    <s v="CLM-10623"/>
    <d v="2023-07-24T00:00:00"/>
    <d v="2023-09-09T00:00:00"/>
    <d v="2024-07-04T00:00:00"/>
    <n v="65985.08"/>
    <x v="0"/>
    <n v="12"/>
    <n v="1"/>
    <n v="2024"/>
    <x v="0"/>
  </r>
  <r>
    <s v="CLM-10144"/>
    <d v="2022-04-24T00:00:00"/>
    <m/>
    <d v="2022-05-14T00:00:00"/>
    <n v="23346.19"/>
    <x v="2"/>
    <n v="1"/>
    <n v="1"/>
    <n v="2022"/>
    <x v="1"/>
  </r>
  <r>
    <s v="CLM-10194"/>
    <d v="2024-08-10T00:00:00"/>
    <d v="2024-08-16T00:00:00"/>
    <d v="2024-09-16T00:00:00"/>
    <n v="62405.84"/>
    <x v="4"/>
    <n v="1"/>
    <n v="1"/>
    <n v="2024"/>
    <x v="1"/>
  </r>
  <r>
    <s v="CLM-10114"/>
    <d v="2022-11-15T00:00:00"/>
    <d v="2023-01-03T00:00:00"/>
    <d v="2023-04-07T00:00:00"/>
    <n v="83910.29"/>
    <x v="2"/>
    <n v="5"/>
    <n v="1"/>
    <n v="2023"/>
    <x v="0"/>
  </r>
  <r>
    <s v="CLM-10505"/>
    <d v="2021-11-07T00:00:00"/>
    <d v="2022-02-01T00:00:00"/>
    <d v="2022-06-18T00:00:00"/>
    <n v="-5683.04"/>
    <x v="1"/>
    <n v="7"/>
    <n v="1"/>
    <n v="2022"/>
    <x v="0"/>
  </r>
  <r>
    <s v="CLM-10182"/>
    <d v="2024-04-04T00:00:00"/>
    <d v="2024-04-15T00:00:00"/>
    <d v="2025-03-24T00:00:00"/>
    <n v="11302.05"/>
    <x v="4"/>
    <n v="11"/>
    <n v="1"/>
    <n v="2025"/>
    <x v="0"/>
  </r>
  <r>
    <s v="CLM-10028"/>
    <d v="2020-03-02T00:00:00"/>
    <d v="2020-05-30T00:00:00"/>
    <d v="2020-11-27T00:00:00"/>
    <n v="53558.09"/>
    <x v="3"/>
    <n v="8"/>
    <n v="1"/>
    <n v="2020"/>
    <x v="1"/>
  </r>
  <r>
    <s v="CLM-10221"/>
    <d v="2022-02-14T00:00:00"/>
    <d v="2022-04-25T00:00:00"/>
    <d v="2023-01-28T00:00:00"/>
    <n v="60923.62"/>
    <x v="2"/>
    <n v="11"/>
    <n v="1"/>
    <n v="2023"/>
    <x v="0"/>
  </r>
  <r>
    <s v="CLM-10660"/>
    <d v="2023-06-23T00:00:00"/>
    <d v="2023-06-29T00:00:00"/>
    <d v="2023-12-29T00:00:00"/>
    <n v="4102.38"/>
    <x v="0"/>
    <n v="6"/>
    <n v="1"/>
    <n v="2023"/>
    <x v="1"/>
  </r>
  <r>
    <s v="CLM-10523"/>
    <d v="2021-06-09T00:00:00"/>
    <d v="2021-08-23T00:00:00"/>
    <d v="2022-06-01T00:00:00"/>
    <n v="24203.42"/>
    <x v="1"/>
    <n v="12"/>
    <n v="1"/>
    <n v="2022"/>
    <x v="0"/>
  </r>
  <r>
    <s v="CLM-10630"/>
    <d v="2023-01-27T00:00:00"/>
    <m/>
    <d v="2023-07-05T00:00:00"/>
    <n v="2796.67"/>
    <x v="0"/>
    <n v="6"/>
    <n v="1"/>
    <n v="2023"/>
    <x v="1"/>
  </r>
  <r>
    <s v="CLM-10726"/>
    <d v="2021-09-17T00:00:00"/>
    <d v="2021-11-10T00:00:00"/>
    <d v="2023-08-04T00:00:00"/>
    <n v="19293.2"/>
    <x v="1"/>
    <n v="23"/>
    <n v="2"/>
    <n v="2023"/>
    <x v="2"/>
  </r>
  <r>
    <s v="CLM-10138"/>
    <d v="2023-02-27T00:00:00"/>
    <d v="2023-05-07T00:00:00"/>
    <d v="2024-10-15T00:00:00"/>
    <n v="33760.050000000003"/>
    <x v="0"/>
    <n v="20"/>
    <n v="2"/>
    <n v="2024"/>
    <x v="0"/>
  </r>
  <r>
    <s v="CLM-10010"/>
    <d v="2022-07-10T00:00:00"/>
    <d v="2022-09-21T00:00:00"/>
    <d v="2022-12-29T00:00:00"/>
    <n v="2978.83"/>
    <x v="2"/>
    <n v="5"/>
    <n v="1"/>
    <n v="2022"/>
    <x v="1"/>
  </r>
  <r>
    <s v="CLM-10552"/>
    <d v="2023-07-20T00:00:00"/>
    <d v="2023-10-15T00:00:00"/>
    <d v="2024-11-09T00:00:00"/>
    <n v="70511.600000000006"/>
    <x v="0"/>
    <n v="16"/>
    <n v="2"/>
    <n v="2024"/>
    <x v="0"/>
  </r>
  <r>
    <s v="CLM-10359"/>
    <d v="2023-06-21T00:00:00"/>
    <d v="2023-09-18T00:00:00"/>
    <d v="2024-01-04T00:00:00"/>
    <n v="80081.960000000006"/>
    <x v="0"/>
    <n v="7"/>
    <n v="1"/>
    <n v="2024"/>
    <x v="0"/>
  </r>
  <r>
    <s v="CLM-10105"/>
    <d v="2024-03-28T00:00:00"/>
    <d v="2024-05-31T00:00:00"/>
    <d v="2025-04-03T00:00:00"/>
    <n v="10808.39"/>
    <x v="4"/>
    <n v="13"/>
    <n v="2"/>
    <n v="2025"/>
    <x v="0"/>
  </r>
  <r>
    <s v="CLM-10057"/>
    <d v="2020-05-31T00:00:00"/>
    <d v="2020-06-23T00:00:00"/>
    <d v="2020-10-03T00:00:00"/>
    <n v="35233.94"/>
    <x v="3"/>
    <n v="5"/>
    <n v="1"/>
    <n v="2020"/>
    <x v="1"/>
  </r>
  <r>
    <s v="CLM-10479"/>
    <d v="2023-11-13T00:00:00"/>
    <d v="2023-11-27T00:00:00"/>
    <d v="2024-09-23T00:00:00"/>
    <n v="46445.91"/>
    <x v="0"/>
    <n v="10"/>
    <n v="1"/>
    <n v="2024"/>
    <x v="0"/>
  </r>
  <r>
    <s v="CLM-10771"/>
    <d v="2022-08-19T00:00:00"/>
    <d v="2022-09-08T00:00:00"/>
    <d v="2022-10-24T00:00:00"/>
    <n v="80054.429999999993"/>
    <x v="2"/>
    <n v="2"/>
    <n v="1"/>
    <n v="2022"/>
    <x v="1"/>
  </r>
  <r>
    <s v="CLM-10236"/>
    <d v="2023-10-20T00:00:00"/>
    <d v="2023-12-17T00:00:00"/>
    <d v="2024-02-29T00:00:00"/>
    <n v="37565.339999999997"/>
    <x v="0"/>
    <n v="4"/>
    <n v="1"/>
    <n v="2024"/>
    <x v="0"/>
  </r>
  <r>
    <s v="CLM-10026"/>
    <d v="2022-11-30T00:00:00"/>
    <d v="2023-01-14T00:00:00"/>
    <d v="2024-01-21T00:00:00"/>
    <n v="-12309.27"/>
    <x v="2"/>
    <n v="14"/>
    <n v="2"/>
    <n v="2024"/>
    <x v="2"/>
  </r>
  <r>
    <s v="CLM-10634"/>
    <d v="2020-07-08T00:00:00"/>
    <d v="2020-08-17T00:00:00"/>
    <d v="2021-02-18T00:00:00"/>
    <n v="-24257.72"/>
    <x v="3"/>
    <n v="7"/>
    <n v="1"/>
    <n v="2021"/>
    <x v="0"/>
  </r>
  <r>
    <s v="CLM-10770"/>
    <d v="2023-07-08T00:00:00"/>
    <d v="2023-08-18T00:00:00"/>
    <d v="2023-12-03T00:00:00"/>
    <n v="56897.29"/>
    <x v="0"/>
    <n v="5"/>
    <n v="1"/>
    <n v="2023"/>
    <x v="1"/>
  </r>
  <r>
    <s v="CLM-10536"/>
    <d v="2024-09-19T00:00:00"/>
    <d v="2024-11-22T00:00:00"/>
    <d v="2024-12-20T00:00:00"/>
    <n v="33718.120000000003"/>
    <x v="4"/>
    <n v="3"/>
    <n v="1"/>
    <n v="2024"/>
    <x v="1"/>
  </r>
  <r>
    <s v="CLM-10610"/>
    <d v="2023-10-29T00:00:00"/>
    <d v="2023-11-12T00:00:00"/>
    <d v="2024-02-18T00:00:00"/>
    <n v="59243.31"/>
    <x v="0"/>
    <n v="4"/>
    <n v="1"/>
    <n v="2024"/>
    <x v="0"/>
  </r>
  <r>
    <s v="CLM-10733"/>
    <d v="2021-09-06T00:00:00"/>
    <d v="2021-10-18T00:00:00"/>
    <d v="2022-06-11T00:00:00"/>
    <n v="79871.12"/>
    <x v="1"/>
    <n v="9"/>
    <n v="1"/>
    <n v="2022"/>
    <x v="0"/>
  </r>
  <r>
    <s v="CLM-10782"/>
    <d v="2023-12-30T00:00:00"/>
    <d v="2024-01-19T00:00:00"/>
    <d v="2024-10-21T00:00:00"/>
    <n v="54476.08"/>
    <x v="0"/>
    <n v="10"/>
    <n v="1"/>
    <n v="2024"/>
    <x v="0"/>
  </r>
  <r>
    <s v="CLM-10387"/>
    <d v="2022-08-14T00:00:00"/>
    <d v="2022-09-25T00:00:00"/>
    <d v="2023-07-09T00:00:00"/>
    <n v="65382.5"/>
    <x v="2"/>
    <n v="11"/>
    <n v="1"/>
    <n v="2023"/>
    <x v="0"/>
  </r>
  <r>
    <s v="CLM-10313"/>
    <d v="2024-08-29T00:00:00"/>
    <d v="2024-10-06T00:00:00"/>
    <d v="2025-04-28T00:00:00"/>
    <n v="71122.2"/>
    <x v="4"/>
    <n v="8"/>
    <n v="1"/>
    <n v="2025"/>
    <x v="0"/>
  </r>
  <r>
    <s v="CLM-10028"/>
    <d v="2020-03-02T00:00:00"/>
    <d v="2020-05-30T00:00:00"/>
    <d v="2020-07-02T00:00:00"/>
    <n v="39264.6"/>
    <x v="3"/>
    <n v="4"/>
    <n v="1"/>
    <n v="2020"/>
    <x v="1"/>
  </r>
  <r>
    <s v="CLM-10630"/>
    <d v="2023-01-27T00:00:00"/>
    <m/>
    <d v="2023-08-31T00:00:00"/>
    <n v="29406.880000000001"/>
    <x v="0"/>
    <n v="7"/>
    <n v="1"/>
    <n v="2023"/>
    <x v="1"/>
  </r>
  <r>
    <s v="CLM-10354"/>
    <d v="2022-12-21T00:00:00"/>
    <d v="2022-12-23T00:00:00"/>
    <d v="2023-11-26T00:00:00"/>
    <n v="82295.02"/>
    <x v="2"/>
    <n v="11"/>
    <n v="1"/>
    <n v="2023"/>
    <x v="0"/>
  </r>
  <r>
    <s v="CLM-10348"/>
    <d v="2024-09-14T00:00:00"/>
    <d v="2024-09-30T00:00:00"/>
    <d v="2025-02-03T00:00:00"/>
    <n v="71276.429999999993"/>
    <x v="4"/>
    <n v="5"/>
    <n v="1"/>
    <n v="2025"/>
    <x v="0"/>
  </r>
  <r>
    <s v="CLM-10603"/>
    <d v="2022-01-03T00:00:00"/>
    <d v="2022-02-24T00:00:00"/>
    <d v="2023-05-24T00:00:00"/>
    <n v="-11247.51"/>
    <x v="2"/>
    <n v="16"/>
    <n v="2"/>
    <n v="2023"/>
    <x v="0"/>
  </r>
  <r>
    <s v="CLM-10064"/>
    <d v="2023-04-21T00:00:00"/>
    <d v="2023-04-22T00:00:00"/>
    <d v="2023-04-11T00:00:00"/>
    <n v="48510.43"/>
    <x v="0"/>
    <n v="0"/>
    <n v="0"/>
    <n v="2023"/>
    <x v="1"/>
  </r>
  <r>
    <s v="CLM-10697"/>
    <d v="2023-11-11T00:00:00"/>
    <d v="2024-01-28T00:00:00"/>
    <d v="2024-10-25T00:00:00"/>
    <n v="14996.83"/>
    <x v="0"/>
    <n v="11"/>
    <n v="1"/>
    <n v="2024"/>
    <x v="0"/>
  </r>
  <r>
    <s v="CLM-10153"/>
    <d v="2021-02-21T00:00:00"/>
    <d v="2021-03-24T00:00:00"/>
    <d v="2021-11-21T00:00:00"/>
    <n v="-22834.22"/>
    <x v="1"/>
    <n v="9"/>
    <n v="1"/>
    <n v="2021"/>
    <x v="1"/>
  </r>
  <r>
    <s v="CLM-10230"/>
    <d v="2020-09-27T00:00:00"/>
    <d v="2020-11-09T00:00:00"/>
    <d v="2021-03-25T00:00:00"/>
    <n v="34228.550000000003"/>
    <x v="3"/>
    <n v="6"/>
    <n v="1"/>
    <n v="2021"/>
    <x v="0"/>
  </r>
  <r>
    <s v="CLM-10272"/>
    <d v="2021-01-23T00:00:00"/>
    <m/>
    <d v="2021-04-21T00:00:00"/>
    <n v="59499.29"/>
    <x v="1"/>
    <n v="3"/>
    <n v="1"/>
    <n v="2021"/>
    <x v="1"/>
  </r>
  <r>
    <s v="CLM-10780"/>
    <d v="2022-07-08T00:00:00"/>
    <d v="2022-08-04T00:00:00"/>
    <d v="2022-09-21T00:00:00"/>
    <n v="66925.73"/>
    <x v="2"/>
    <n v="2"/>
    <n v="1"/>
    <n v="2022"/>
    <x v="1"/>
  </r>
  <r>
    <s v="CLM-10079"/>
    <d v="2020-08-20T00:00:00"/>
    <d v="2020-11-05T00:00:00"/>
    <d v="2021-05-14T00:00:00"/>
    <n v="16787.560000000001"/>
    <x v="3"/>
    <n v="9"/>
    <n v="1"/>
    <n v="2021"/>
    <x v="0"/>
  </r>
  <r>
    <s v="CLM-10325"/>
    <d v="2023-06-18T00:00:00"/>
    <d v="2023-08-06T00:00:00"/>
    <d v="2023-12-06T00:00:00"/>
    <n v="24176.39"/>
    <x v="0"/>
    <n v="6"/>
    <n v="1"/>
    <n v="2023"/>
    <x v="1"/>
  </r>
  <r>
    <s v="CLM-10379"/>
    <d v="2020-05-27T00:00:00"/>
    <d v="2020-08-22T00:00:00"/>
    <d v="2020-11-30T00:00:00"/>
    <n v="49093.09"/>
    <x v="3"/>
    <n v="6"/>
    <n v="1"/>
    <n v="2020"/>
    <x v="1"/>
  </r>
  <r>
    <s v="CLM-10666"/>
    <d v="2022-01-27T00:00:00"/>
    <d v="2022-03-02T00:00:00"/>
    <d v="2022-07-19T00:00:00"/>
    <n v="11732.53"/>
    <x v="2"/>
    <n v="6"/>
    <n v="1"/>
    <n v="2022"/>
    <x v="1"/>
  </r>
  <r>
    <s v="CLM-10272"/>
    <d v="2021-01-23T00:00:00"/>
    <m/>
    <d v="2021-05-10T00:00:00"/>
    <n v="28667.52"/>
    <x v="1"/>
    <n v="4"/>
    <n v="1"/>
    <n v="2021"/>
    <x v="1"/>
  </r>
  <r>
    <s v="CLM-10532"/>
    <d v="2023-12-24T00:00:00"/>
    <d v="2024-02-25T00:00:00"/>
    <d v="2024-10-26T00:00:00"/>
    <n v="67385.240000000005"/>
    <x v="0"/>
    <n v="10"/>
    <n v="1"/>
    <n v="2024"/>
    <x v="0"/>
  </r>
  <r>
    <s v="CLM-10466"/>
    <d v="2021-04-19T00:00:00"/>
    <d v="2021-05-20T00:00:00"/>
    <d v="2022-02-08T00:00:00"/>
    <n v="73124.78"/>
    <x v="1"/>
    <n v="10"/>
    <n v="1"/>
    <n v="2022"/>
    <x v="0"/>
  </r>
  <r>
    <s v="CLM-10707"/>
    <d v="2020-02-20T00:00:00"/>
    <d v="2020-04-20T00:00:00"/>
    <d v="2021-02-02T00:00:00"/>
    <n v="44100.02"/>
    <x v="3"/>
    <n v="12"/>
    <n v="1"/>
    <n v="2021"/>
    <x v="0"/>
  </r>
  <r>
    <s v="CLM-10451"/>
    <d v="2022-11-29T00:00:00"/>
    <d v="2023-01-10T00:00:00"/>
    <d v="2023-07-23T00:00:00"/>
    <n v="81110.42"/>
    <x v="2"/>
    <n v="8"/>
    <n v="1"/>
    <n v="2023"/>
    <x v="0"/>
  </r>
  <r>
    <s v="CLM-10789"/>
    <d v="2024-06-14T00:00:00"/>
    <d v="2024-09-05T00:00:00"/>
    <d v="2025-01-24T00:00:00"/>
    <n v="10075.709999999999"/>
    <x v="4"/>
    <n v="7"/>
    <n v="1"/>
    <n v="2025"/>
    <x v="0"/>
  </r>
  <r>
    <s v="CLM-10007"/>
    <d v="2022-12-13T00:00:00"/>
    <d v="2023-01-27T00:00:00"/>
    <d v="2023-07-01T00:00:00"/>
    <n v="6903.94"/>
    <x v="2"/>
    <n v="7"/>
    <n v="1"/>
    <n v="2023"/>
    <x v="0"/>
  </r>
  <r>
    <s v="CLM-10786"/>
    <d v="2023-02-07T00:00:00"/>
    <d v="2023-04-13T00:00:00"/>
    <d v="2024-06-03T00:00:00"/>
    <n v="35073.19"/>
    <x v="0"/>
    <n v="16"/>
    <n v="2"/>
    <n v="2024"/>
    <x v="0"/>
  </r>
  <r>
    <s v="CLM-10430"/>
    <d v="2020-05-28T00:00:00"/>
    <d v="2020-07-12T00:00:00"/>
    <d v="2021-06-25T00:00:00"/>
    <n v="78800.149999999994"/>
    <x v="3"/>
    <n v="13"/>
    <n v="2"/>
    <n v="2021"/>
    <x v="0"/>
  </r>
  <r>
    <s v="CLM-10253"/>
    <d v="2021-09-30T00:00:00"/>
    <d v="2021-11-04T00:00:00"/>
    <d v="2022-11-22T00:00:00"/>
    <n v="29211.03"/>
    <x v="1"/>
    <n v="14"/>
    <n v="2"/>
    <n v="2022"/>
    <x v="0"/>
  </r>
  <r>
    <s v="CLM-10246"/>
    <d v="2024-07-16T00:00:00"/>
    <d v="2024-09-10T00:00:00"/>
    <d v="2024-11-15T00:00:00"/>
    <n v="58881.29"/>
    <x v="4"/>
    <n v="4"/>
    <n v="1"/>
    <n v="2024"/>
    <x v="1"/>
  </r>
  <r>
    <s v="CLM-10648"/>
    <d v="2022-06-02T00:00:00"/>
    <d v="2022-07-31T00:00:00"/>
    <d v="2022-12-06T00:00:00"/>
    <n v="53291.54"/>
    <x v="2"/>
    <n v="6"/>
    <n v="1"/>
    <n v="2022"/>
    <x v="1"/>
  </r>
  <r>
    <s v="CLM-10255"/>
    <d v="2020-09-29T00:00:00"/>
    <d v="2020-10-29T00:00:00"/>
    <d v="2021-05-15T00:00:00"/>
    <n v="59149.56"/>
    <x v="3"/>
    <n v="8"/>
    <n v="1"/>
    <n v="2021"/>
    <x v="0"/>
  </r>
  <r>
    <s v="CLM-10332"/>
    <d v="2023-04-25T00:00:00"/>
    <d v="2023-06-10T00:00:00"/>
    <d v="2025-01-02T00:00:00"/>
    <n v="24138.240000000002"/>
    <x v="0"/>
    <n v="21"/>
    <n v="2"/>
    <n v="2025"/>
    <x v="2"/>
  </r>
  <r>
    <s v="CLM-10688"/>
    <d v="2020-01-02T00:00:00"/>
    <d v="2020-02-21T00:00:00"/>
    <d v="2020-08-05T00:00:00"/>
    <n v="50559.83"/>
    <x v="3"/>
    <n v="7"/>
    <n v="1"/>
    <n v="2020"/>
    <x v="1"/>
  </r>
  <r>
    <s v="CLM-10113"/>
    <d v="2020-02-04T00:00:00"/>
    <d v="2020-04-04T00:00:00"/>
    <d v="2021-02-05T00:00:00"/>
    <n v="38336.660000000003"/>
    <x v="3"/>
    <n v="12"/>
    <n v="1"/>
    <n v="2021"/>
    <x v="0"/>
  </r>
  <r>
    <s v="CLM-10533"/>
    <d v="2022-07-26T00:00:00"/>
    <d v="2022-07-30T00:00:00"/>
    <d v="2022-12-18T00:00:00"/>
    <n v="76360.92"/>
    <x v="2"/>
    <n v="5"/>
    <n v="1"/>
    <n v="2022"/>
    <x v="1"/>
  </r>
  <r>
    <s v="CLM-10239"/>
    <d v="2023-09-22T00:00:00"/>
    <d v="2023-11-08T00:00:00"/>
    <d v="2024-06-30T00:00:00"/>
    <n v="7077.23"/>
    <x v="0"/>
    <n v="9"/>
    <n v="1"/>
    <n v="2024"/>
    <x v="0"/>
  </r>
  <r>
    <s v="CLM-10312"/>
    <d v="2021-07-01T00:00:00"/>
    <d v="2021-08-18T00:00:00"/>
    <d v="2022-08-21T00:00:00"/>
    <n v="11583.8"/>
    <x v="1"/>
    <n v="13"/>
    <n v="2"/>
    <n v="2022"/>
    <x v="0"/>
  </r>
  <r>
    <s v="CLM-10140"/>
    <d v="2021-08-19T00:00:00"/>
    <d v="2021-09-23T00:00:00"/>
    <d v="2022-02-07T00:00:00"/>
    <n v="44404.92"/>
    <x v="1"/>
    <n v="6"/>
    <n v="1"/>
    <n v="2022"/>
    <x v="0"/>
  </r>
  <r>
    <s v="CLM-10571"/>
    <d v="2021-04-23T00:00:00"/>
    <d v="2021-04-25T00:00:00"/>
    <d v="2021-08-02T00:00:00"/>
    <n v="-6577.31"/>
    <x v="1"/>
    <n v="4"/>
    <n v="1"/>
    <n v="2021"/>
    <x v="1"/>
  </r>
  <r>
    <s v="CLM-10045"/>
    <d v="2021-10-18T00:00:00"/>
    <d v="2021-11-28T00:00:00"/>
    <d v="2022-03-26T00:00:00"/>
    <n v="5865.46"/>
    <x v="1"/>
    <n v="5"/>
    <n v="1"/>
    <n v="2022"/>
    <x v="0"/>
  </r>
  <r>
    <s v="CLM-10397"/>
    <d v="2022-01-28T00:00:00"/>
    <d v="2022-02-23T00:00:00"/>
    <d v="2022-06-25T00:00:00"/>
    <n v="4594.5"/>
    <x v="2"/>
    <n v="5"/>
    <n v="1"/>
    <n v="2022"/>
    <x v="1"/>
  </r>
  <r>
    <s v="CLM-10553"/>
    <d v="2022-12-07T00:00:00"/>
    <d v="2023-02-16T00:00:00"/>
    <d v="2023-10-26T00:00:00"/>
    <n v="37833.99"/>
    <x v="2"/>
    <n v="10"/>
    <n v="1"/>
    <n v="2023"/>
    <x v="0"/>
  </r>
  <r>
    <s v="CLM-10781"/>
    <d v="2021-12-31T00:00:00"/>
    <d v="2022-01-08T00:00:00"/>
    <d v="2022-08-03T00:00:00"/>
    <n v="45695.43"/>
    <x v="1"/>
    <n v="8"/>
    <n v="1"/>
    <n v="2022"/>
    <x v="0"/>
  </r>
  <r>
    <s v="CLM-10008"/>
    <d v="2022-06-09T00:00:00"/>
    <d v="2022-08-03T00:00:00"/>
    <d v="2023-12-06T00:00:00"/>
    <n v="72740.39"/>
    <x v="2"/>
    <n v="18"/>
    <n v="2"/>
    <n v="2023"/>
    <x v="0"/>
  </r>
  <r>
    <s v="CLM-10475"/>
    <d v="2022-10-21T00:00:00"/>
    <d v="2022-12-25T00:00:00"/>
    <d v="2024-01-11T00:00:00"/>
    <n v="6779.94"/>
    <x v="2"/>
    <n v="15"/>
    <n v="2"/>
    <n v="2024"/>
    <x v="2"/>
  </r>
  <r>
    <s v="CLM-10095"/>
    <d v="2020-09-01T00:00:00"/>
    <d v="2020-11-10T00:00:00"/>
    <d v="2022-02-16T00:00:00"/>
    <n v="-1722.88"/>
    <x v="3"/>
    <n v="17"/>
    <n v="2"/>
    <n v="2022"/>
    <x v="2"/>
  </r>
  <r>
    <s v="CLM-10358"/>
    <d v="2020-05-24T00:00:00"/>
    <d v="2020-08-17T00:00:00"/>
    <d v="2021-07-01T00:00:00"/>
    <n v="36122.559999999998"/>
    <x v="3"/>
    <n v="14"/>
    <n v="2"/>
    <n v="2021"/>
    <x v="0"/>
  </r>
  <r>
    <s v="CLM-10423"/>
    <d v="2023-03-17T00:00:00"/>
    <d v="2023-03-28T00:00:00"/>
    <d v="2023-10-22T00:00:00"/>
    <n v="73149.710000000006"/>
    <x v="0"/>
    <n v="7"/>
    <n v="1"/>
    <n v="2023"/>
    <x v="1"/>
  </r>
  <r>
    <s v="CLM-10457"/>
    <d v="2023-05-27T00:00:00"/>
    <d v="2023-08-16T00:00:00"/>
    <d v="2024-04-17T00:00:00"/>
    <n v="28340.44"/>
    <x v="0"/>
    <n v="11"/>
    <n v="1"/>
    <n v="2024"/>
    <x v="0"/>
  </r>
  <r>
    <s v="CLM-10484"/>
    <d v="2023-01-23T00:00:00"/>
    <d v="2023-03-30T00:00:00"/>
    <d v="2024-03-17T00:00:00"/>
    <n v="37470.69"/>
    <x v="0"/>
    <n v="14"/>
    <n v="2"/>
    <n v="2024"/>
    <x v="0"/>
  </r>
  <r>
    <s v="CLM-10252"/>
    <d v="2022-08-02T00:00:00"/>
    <d v="2022-10-01T00:00:00"/>
    <d v="2023-11-19T00:00:00"/>
    <n v="27034.91"/>
    <x v="2"/>
    <n v="15"/>
    <n v="2"/>
    <n v="2023"/>
    <x v="0"/>
  </r>
  <r>
    <s v="CLM-10379"/>
    <d v="2020-05-27T00:00:00"/>
    <d v="2020-08-22T00:00:00"/>
    <d v="2021-04-12T00:00:00"/>
    <n v="47990.400000000001"/>
    <x v="3"/>
    <n v="11"/>
    <n v="1"/>
    <n v="2021"/>
    <x v="0"/>
  </r>
  <r>
    <s v="CLM-10610"/>
    <d v="2023-10-29T00:00:00"/>
    <d v="2023-11-12T00:00:00"/>
    <d v="2024-04-25T00:00:00"/>
    <n v="74114.41"/>
    <x v="0"/>
    <n v="6"/>
    <n v="1"/>
    <n v="2024"/>
    <x v="0"/>
  </r>
  <r>
    <s v="CLM-10523"/>
    <d v="2021-06-09T00:00:00"/>
    <d v="2021-08-23T00:00:00"/>
    <d v="2021-09-22T00:00:00"/>
    <n v="56582.41"/>
    <x v="1"/>
    <n v="3"/>
    <n v="1"/>
    <n v="2021"/>
    <x v="1"/>
  </r>
  <r>
    <s v="CLM-10017"/>
    <d v="2022-07-26T00:00:00"/>
    <m/>
    <d v="2023-02-23T00:00:00"/>
    <n v="-21975.35"/>
    <x v="2"/>
    <n v="7"/>
    <n v="1"/>
    <n v="2023"/>
    <x v="0"/>
  </r>
  <r>
    <s v="CLM-10472"/>
    <d v="2023-03-07T00:00:00"/>
    <d v="2023-05-19T00:00:00"/>
    <d v="2023-08-11T00:00:00"/>
    <n v="7595.25"/>
    <x v="0"/>
    <n v="5"/>
    <n v="1"/>
    <n v="2023"/>
    <x v="1"/>
  </r>
  <r>
    <s v="CLM-10453"/>
    <d v="2022-02-14T00:00:00"/>
    <d v="2022-03-16T00:00:00"/>
    <d v="2022-08-07T00:00:00"/>
    <n v="-23060.95"/>
    <x v="2"/>
    <n v="6"/>
    <n v="1"/>
    <n v="2022"/>
    <x v="1"/>
  </r>
  <r>
    <s v="CLM-10330"/>
    <d v="2021-09-09T00:00:00"/>
    <d v="2021-10-11T00:00:00"/>
    <d v="2022-01-24T00:00:00"/>
    <n v="17074.87"/>
    <x v="1"/>
    <n v="4"/>
    <n v="1"/>
    <n v="2022"/>
    <x v="0"/>
  </r>
  <r>
    <s v="CLM-10609"/>
    <d v="2022-01-13T00:00:00"/>
    <d v="2022-01-28T00:00:00"/>
    <d v="2022-05-12T00:00:00"/>
    <n v="-1988.41"/>
    <x v="2"/>
    <n v="4"/>
    <n v="1"/>
    <n v="2022"/>
    <x v="1"/>
  </r>
  <r>
    <s v="CLM-10369"/>
    <d v="2024-08-21T00:00:00"/>
    <d v="2024-09-14T00:00:00"/>
    <d v="2025-03-27T00:00:00"/>
    <n v="79550.12"/>
    <x v="4"/>
    <n v="7"/>
    <n v="1"/>
    <n v="2025"/>
    <x v="0"/>
  </r>
  <r>
    <s v="CLM-10002"/>
    <d v="2024-02-07T00:00:00"/>
    <d v="2024-02-13T00:00:00"/>
    <d v="2024-09-21T00:00:00"/>
    <n v="83780.649999999994"/>
    <x v="4"/>
    <n v="7"/>
    <n v="1"/>
    <n v="2024"/>
    <x v="1"/>
  </r>
  <r>
    <s v="CLM-10126"/>
    <d v="2022-12-11T00:00:00"/>
    <d v="2023-02-05T00:00:00"/>
    <d v="2023-07-09T00:00:00"/>
    <n v="51443.41"/>
    <x v="2"/>
    <n v="7"/>
    <n v="1"/>
    <n v="2023"/>
    <x v="0"/>
  </r>
  <r>
    <s v="CLM-10412"/>
    <d v="2020-05-22T00:00:00"/>
    <d v="2020-05-24T00:00:00"/>
    <d v="2020-11-16T00:00:00"/>
    <n v="8999.2999999999993"/>
    <x v="3"/>
    <n v="6"/>
    <n v="1"/>
    <n v="2020"/>
    <x v="1"/>
  </r>
  <r>
    <s v="CLM-10019"/>
    <d v="2023-11-17T00:00:00"/>
    <d v="2023-12-03T00:00:00"/>
    <d v="2024-05-12T00:00:00"/>
    <n v="74687.11"/>
    <x v="0"/>
    <n v="6"/>
    <n v="1"/>
    <n v="2024"/>
    <x v="0"/>
  </r>
  <r>
    <s v="CLM-10137"/>
    <d v="2023-01-10T00:00:00"/>
    <d v="2023-02-11T00:00:00"/>
    <d v="2023-11-15T00:00:00"/>
    <n v="60421.42"/>
    <x v="0"/>
    <n v="10"/>
    <n v="1"/>
    <n v="2023"/>
    <x v="1"/>
  </r>
  <r>
    <s v="CLM-10683"/>
    <d v="2021-08-10T00:00:00"/>
    <d v="2021-09-20T00:00:00"/>
    <d v="2022-10-28T00:00:00"/>
    <n v="13761.23"/>
    <x v="1"/>
    <n v="14"/>
    <n v="2"/>
    <n v="2022"/>
    <x v="0"/>
  </r>
  <r>
    <s v="CLM-10327"/>
    <d v="2024-05-12T00:00:00"/>
    <m/>
    <d v="2025-01-14T00:00:00"/>
    <n v="61427.45"/>
    <x v="4"/>
    <n v="8"/>
    <n v="1"/>
    <n v="2025"/>
    <x v="0"/>
  </r>
  <r>
    <s v="CLM-10650"/>
    <d v="2021-06-25T00:00:00"/>
    <d v="2021-07-31T00:00:00"/>
    <d v="2022-02-26T00:00:00"/>
    <n v="8018.87"/>
    <x v="1"/>
    <n v="8"/>
    <n v="1"/>
    <n v="2022"/>
    <x v="0"/>
  </r>
  <r>
    <s v="CLM-10616"/>
    <d v="2021-02-04T00:00:00"/>
    <d v="2021-03-08T00:00:00"/>
    <d v="2021-08-15T00:00:00"/>
    <n v="13207.97"/>
    <x v="1"/>
    <n v="6"/>
    <n v="1"/>
    <n v="2021"/>
    <x v="1"/>
  </r>
  <r>
    <s v="CLM-10331"/>
    <d v="2020-01-09T00:00:00"/>
    <d v="2020-01-20T00:00:00"/>
    <d v="2020-11-04T00:00:00"/>
    <n v="-8744.89"/>
    <x v="3"/>
    <n v="10"/>
    <n v="1"/>
    <n v="2020"/>
    <x v="1"/>
  </r>
  <r>
    <s v="CLM-10411"/>
    <d v="2020-05-25T00:00:00"/>
    <m/>
    <d v="2021-04-10T00:00:00"/>
    <n v="-21269.49"/>
    <x v="3"/>
    <n v="11"/>
    <n v="1"/>
    <n v="2021"/>
    <x v="0"/>
  </r>
  <r>
    <s v="CLM-10466"/>
    <d v="2021-04-19T00:00:00"/>
    <d v="2021-05-20T00:00:00"/>
    <d v="2021-10-23T00:00:00"/>
    <n v="-17609.400000000001"/>
    <x v="1"/>
    <n v="6"/>
    <n v="1"/>
    <n v="2021"/>
    <x v="1"/>
  </r>
  <r>
    <s v="CLM-10459"/>
    <d v="2020-01-06T00:00:00"/>
    <d v="2020-03-05T00:00:00"/>
    <d v="2021-03-20T00:00:00"/>
    <n v="64640.27"/>
    <x v="3"/>
    <n v="14"/>
    <n v="2"/>
    <n v="2021"/>
    <x v="0"/>
  </r>
  <r>
    <s v="CLM-10327"/>
    <d v="2024-05-12T00:00:00"/>
    <m/>
    <d v="2024-05-30T00:00:00"/>
    <n v="76333.22"/>
    <x v="4"/>
    <n v="0"/>
    <n v="0"/>
    <n v="2024"/>
    <x v="1"/>
  </r>
  <r>
    <s v="CLM-10410"/>
    <d v="2023-09-28T00:00:00"/>
    <d v="2023-12-10T00:00:00"/>
    <d v="2024-08-06T00:00:00"/>
    <n v="76929.55"/>
    <x v="0"/>
    <n v="11"/>
    <n v="1"/>
    <n v="2024"/>
    <x v="0"/>
  </r>
  <r>
    <s v="CLM-10132"/>
    <d v="2020-11-29T00:00:00"/>
    <d v="2021-02-21T00:00:00"/>
    <d v="2022-02-13T00:00:00"/>
    <n v="-10949.7"/>
    <x v="3"/>
    <n v="15"/>
    <n v="2"/>
    <n v="2022"/>
    <x v="2"/>
  </r>
  <r>
    <s v="CLM-10540"/>
    <d v="2022-06-01T00:00:00"/>
    <d v="2022-08-13T00:00:00"/>
    <d v="2022-11-09T00:00:00"/>
    <n v="84229.57"/>
    <x v="2"/>
    <n v="5"/>
    <n v="1"/>
    <n v="2022"/>
    <x v="1"/>
  </r>
  <r>
    <s v="CLM-10260"/>
    <d v="2021-03-10T00:00:00"/>
    <d v="2021-05-26T00:00:00"/>
    <d v="2021-11-24T00:00:00"/>
    <n v="30422.77"/>
    <x v="1"/>
    <n v="8"/>
    <n v="1"/>
    <n v="2021"/>
    <x v="1"/>
  </r>
  <r>
    <s v="CLM-10640"/>
    <d v="2023-11-08T00:00:00"/>
    <d v="2023-11-09T00:00:00"/>
    <d v="2024-02-04T00:00:00"/>
    <n v="21900.03"/>
    <x v="0"/>
    <n v="3"/>
    <n v="1"/>
    <n v="2024"/>
    <x v="0"/>
  </r>
  <r>
    <s v="CLM-10477"/>
    <d v="2023-08-02T00:00:00"/>
    <d v="2023-08-04T00:00:00"/>
    <d v="2023-09-06T00:00:00"/>
    <n v="60137.71"/>
    <x v="0"/>
    <n v="1"/>
    <n v="1"/>
    <n v="2023"/>
    <x v="1"/>
  </r>
  <r>
    <s v="CLM-10479"/>
    <d v="2023-11-13T00:00:00"/>
    <d v="2023-11-27T00:00:00"/>
    <d v="2024-04-18T00:00:00"/>
    <n v="71683.460000000006"/>
    <x v="0"/>
    <n v="5"/>
    <n v="1"/>
    <n v="2024"/>
    <x v="0"/>
  </r>
  <r>
    <s v="CLM-10275"/>
    <d v="2023-10-12T00:00:00"/>
    <d v="2023-12-31T00:00:00"/>
    <d v="2024-10-07T00:00:00"/>
    <n v="56680.19"/>
    <x v="0"/>
    <n v="12"/>
    <n v="1"/>
    <n v="2024"/>
    <x v="0"/>
  </r>
  <r>
    <s v="CLM-10610"/>
    <d v="2023-10-29T00:00:00"/>
    <d v="2023-11-12T00:00:00"/>
    <d v="2024-09-20T00:00:00"/>
    <n v="6844.23"/>
    <x v="0"/>
    <n v="11"/>
    <n v="1"/>
    <n v="2024"/>
    <x v="0"/>
  </r>
  <r>
    <s v="CLM-10782"/>
    <d v="2023-12-30T00:00:00"/>
    <d v="2024-01-19T00:00:00"/>
    <d v="2024-03-24T00:00:00"/>
    <n v="10917.52"/>
    <x v="0"/>
    <n v="3"/>
    <n v="1"/>
    <n v="2024"/>
    <x v="0"/>
  </r>
  <r>
    <s v="CLM-10376"/>
    <d v="2022-02-08T00:00:00"/>
    <d v="2022-04-30T00:00:00"/>
    <d v="2022-06-19T00:00:00"/>
    <n v="14177.48"/>
    <x v="2"/>
    <n v="4"/>
    <n v="1"/>
    <n v="2022"/>
    <x v="1"/>
  </r>
  <r>
    <s v="CLM-10302"/>
    <d v="2024-03-19T00:00:00"/>
    <d v="2024-04-09T00:00:00"/>
    <d v="2024-08-04T00:00:00"/>
    <n v="32567.56"/>
    <x v="4"/>
    <n v="5"/>
    <n v="1"/>
    <n v="2024"/>
    <x v="1"/>
  </r>
  <r>
    <s v="CLM-10168"/>
    <d v="2023-07-28T00:00:00"/>
    <d v="2023-08-10T00:00:00"/>
    <d v="2023-12-26T00:00:00"/>
    <n v="2273.0700000000002"/>
    <x v="0"/>
    <n v="5"/>
    <n v="1"/>
    <n v="2023"/>
    <x v="1"/>
  </r>
  <r>
    <s v="CLM-10091"/>
    <d v="2022-03-03T00:00:00"/>
    <d v="2022-05-07T00:00:00"/>
    <d v="2022-12-16T00:00:00"/>
    <n v="25560.16"/>
    <x v="2"/>
    <n v="9"/>
    <n v="1"/>
    <n v="2022"/>
    <x v="1"/>
  </r>
  <r>
    <s v="CLM-10771"/>
    <d v="2022-08-19T00:00:00"/>
    <d v="2022-09-08T00:00:00"/>
    <d v="2023-02-24T00:00:00"/>
    <n v="51795.42"/>
    <x v="2"/>
    <n v="6"/>
    <n v="1"/>
    <n v="2023"/>
    <x v="0"/>
  </r>
  <r>
    <s v="CLM-10114"/>
    <d v="2022-11-15T00:00:00"/>
    <d v="2023-01-03T00:00:00"/>
    <d v="2023-12-19T00:00:00"/>
    <n v="36483.879999999997"/>
    <x v="2"/>
    <n v="13"/>
    <n v="2"/>
    <n v="2023"/>
    <x v="0"/>
  </r>
  <r>
    <s v="CLM-10081"/>
    <d v="2022-03-12T00:00:00"/>
    <d v="2022-03-30T00:00:00"/>
    <d v="2022-11-26T00:00:00"/>
    <n v="46396.3"/>
    <x v="2"/>
    <n v="8"/>
    <n v="1"/>
    <n v="2022"/>
    <x v="1"/>
  </r>
  <r>
    <s v="CLM-10780"/>
    <d v="2022-07-08T00:00:00"/>
    <d v="2022-08-04T00:00:00"/>
    <d v="2023-04-08T00:00:00"/>
    <n v="61615.53"/>
    <x v="2"/>
    <n v="9"/>
    <n v="1"/>
    <n v="2023"/>
    <x v="0"/>
  </r>
  <r>
    <s v="CLM-10304"/>
    <d v="2020-11-07T00:00:00"/>
    <d v="2020-11-30T00:00:00"/>
    <d v="2021-06-05T00:00:00"/>
    <n v="12895.5"/>
    <x v="3"/>
    <n v="7"/>
    <n v="1"/>
    <n v="2021"/>
    <x v="0"/>
  </r>
  <r>
    <s v="CLM-10114"/>
    <d v="2022-11-15T00:00:00"/>
    <d v="2023-01-03T00:00:00"/>
    <d v="2023-09-28T00:00:00"/>
    <n v="4338.4799999999996"/>
    <x v="2"/>
    <n v="10"/>
    <n v="1"/>
    <n v="2023"/>
    <x v="0"/>
  </r>
  <r>
    <s v="CLM-10552"/>
    <d v="2023-07-20T00:00:00"/>
    <d v="2023-10-15T00:00:00"/>
    <d v="2024-07-03T00:00:00"/>
    <n v="50445.85"/>
    <x v="0"/>
    <n v="12"/>
    <n v="1"/>
    <n v="2024"/>
    <x v="0"/>
  </r>
  <r>
    <s v="CLM-10579"/>
    <d v="2020-07-05T00:00:00"/>
    <d v="2020-08-15T00:00:00"/>
    <d v="2020-12-04T00:00:00"/>
    <n v="5371"/>
    <x v="3"/>
    <n v="5"/>
    <n v="1"/>
    <n v="2020"/>
    <x v="1"/>
  </r>
  <r>
    <s v="CLM-10622"/>
    <d v="2023-03-12T00:00:00"/>
    <d v="2023-03-27T00:00:00"/>
    <d v="2024-07-12T00:00:00"/>
    <n v="12035.91"/>
    <x v="0"/>
    <n v="16"/>
    <n v="2"/>
    <n v="2024"/>
    <x v="0"/>
  </r>
  <r>
    <s v="CLM-10301"/>
    <d v="2023-08-02T00:00:00"/>
    <d v="2023-09-16T00:00:00"/>
    <d v="2024-07-21T00:00:00"/>
    <n v="60834.43"/>
    <x v="0"/>
    <n v="11"/>
    <n v="1"/>
    <n v="2024"/>
    <x v="0"/>
  </r>
  <r>
    <s v="CLM-10333"/>
    <d v="2020-08-21T00:00:00"/>
    <d v="2020-10-11T00:00:00"/>
    <d v="2020-12-20T00:00:00"/>
    <n v="12201.99"/>
    <x v="3"/>
    <n v="4"/>
    <n v="1"/>
    <n v="2020"/>
    <x v="1"/>
  </r>
  <r>
    <s v="CLM-10603"/>
    <d v="2022-01-03T00:00:00"/>
    <d v="2022-02-24T00:00:00"/>
    <d v="2022-08-28T00:00:00"/>
    <n v="60666.13"/>
    <x v="2"/>
    <n v="7"/>
    <n v="1"/>
    <n v="2022"/>
    <x v="1"/>
  </r>
  <r>
    <s v="CLM-10668"/>
    <d v="2020-02-09T00:00:00"/>
    <d v="2020-02-23T00:00:00"/>
    <d v="2020-10-28T00:00:00"/>
    <n v="74825.58"/>
    <x v="3"/>
    <n v="8"/>
    <n v="1"/>
    <n v="2020"/>
    <x v="1"/>
  </r>
  <r>
    <s v="CLM-10657"/>
    <d v="2023-02-24T00:00:00"/>
    <d v="2023-05-21T00:00:00"/>
    <d v="2024-05-30T00:00:00"/>
    <n v="-14047.33"/>
    <x v="0"/>
    <n v="15"/>
    <n v="2"/>
    <n v="2024"/>
    <x v="0"/>
  </r>
  <r>
    <s v="CLM-10337"/>
    <d v="2023-10-07T00:00:00"/>
    <d v="2023-12-27T00:00:00"/>
    <d v="2024-04-01T00:00:00"/>
    <n v="76638.59"/>
    <x v="0"/>
    <n v="6"/>
    <n v="1"/>
    <n v="2024"/>
    <x v="0"/>
  </r>
  <r>
    <s v="CLM-10723"/>
    <d v="2024-02-26T00:00:00"/>
    <d v="2024-03-30T00:00:00"/>
    <d v="2025-03-26T00:00:00"/>
    <n v="-14216.9"/>
    <x v="4"/>
    <n v="13"/>
    <n v="2"/>
    <n v="2025"/>
    <x v="0"/>
  </r>
  <r>
    <s v="CLM-10355"/>
    <d v="2023-03-23T00:00:00"/>
    <d v="2023-04-15T00:00:00"/>
    <d v="2023-11-16T00:00:00"/>
    <n v="20957.37"/>
    <x v="0"/>
    <n v="8"/>
    <n v="1"/>
    <n v="2023"/>
    <x v="1"/>
  </r>
  <r>
    <s v="CLM-10058"/>
    <d v="2021-04-10T00:00:00"/>
    <d v="2021-04-27T00:00:00"/>
    <d v="2021-12-06T00:00:00"/>
    <n v="79602.53"/>
    <x v="1"/>
    <n v="8"/>
    <n v="1"/>
    <n v="2021"/>
    <x v="1"/>
  </r>
  <r>
    <s v="CLM-10685"/>
    <d v="2020-03-16T00:00:00"/>
    <d v="2020-03-17T00:00:00"/>
    <d v="2021-08-14T00:00:00"/>
    <n v="40131.660000000003"/>
    <x v="3"/>
    <n v="17"/>
    <n v="2"/>
    <n v="2021"/>
    <x v="0"/>
  </r>
  <r>
    <s v="CLM-10005"/>
    <d v="2021-06-15T00:00:00"/>
    <d v="2021-07-16T00:00:00"/>
    <d v="2021-08-25T00:00:00"/>
    <n v="38081.86"/>
    <x v="1"/>
    <n v="2"/>
    <n v="1"/>
    <n v="2021"/>
    <x v="1"/>
  </r>
  <r>
    <s v="CLM-10275"/>
    <d v="2023-10-12T00:00:00"/>
    <d v="2023-12-31T00:00:00"/>
    <d v="2024-12-21T00:00:00"/>
    <n v="9015.01"/>
    <x v="0"/>
    <n v="14"/>
    <n v="2"/>
    <n v="2024"/>
    <x v="0"/>
  </r>
  <r>
    <s v="CLM-10262"/>
    <d v="2022-10-24T00:00:00"/>
    <d v="2022-12-02T00:00:00"/>
    <d v="2023-06-17T00:00:00"/>
    <n v="77395.070000000007"/>
    <x v="2"/>
    <n v="8"/>
    <n v="1"/>
    <n v="2023"/>
    <x v="0"/>
  </r>
  <r>
    <s v="CLM-10354"/>
    <d v="2022-12-21T00:00:00"/>
    <d v="2022-12-23T00:00:00"/>
    <d v="2024-10-19T00:00:00"/>
    <n v="6564.81"/>
    <x v="2"/>
    <n v="22"/>
    <n v="2"/>
    <n v="2024"/>
    <x v="2"/>
  </r>
  <r>
    <s v="CLM-10227"/>
    <d v="2023-10-02T00:00:00"/>
    <m/>
    <d v="2024-06-21T00:00:00"/>
    <n v="48863.91"/>
    <x v="0"/>
    <n v="8"/>
    <n v="1"/>
    <n v="2024"/>
    <x v="0"/>
  </r>
  <r>
    <s v="CLM-10423"/>
    <d v="2023-03-17T00:00:00"/>
    <d v="2023-03-28T00:00:00"/>
    <d v="2023-05-25T00:00:00"/>
    <n v="75369.899999999994"/>
    <x v="0"/>
    <n v="2"/>
    <n v="1"/>
    <n v="2023"/>
    <x v="1"/>
  </r>
  <r>
    <s v="CLM-10227"/>
    <d v="2023-10-02T00:00:00"/>
    <m/>
    <d v="2024-01-20T00:00:00"/>
    <n v="40351.35"/>
    <x v="0"/>
    <n v="3"/>
    <n v="1"/>
    <n v="2024"/>
    <x v="0"/>
  </r>
  <r>
    <s v="CLM-10289"/>
    <d v="2021-10-20T00:00:00"/>
    <d v="2021-12-22T00:00:00"/>
    <d v="2022-01-18T00:00:00"/>
    <n v="16970.439999999999"/>
    <x v="1"/>
    <n v="3"/>
    <n v="1"/>
    <n v="2022"/>
    <x v="0"/>
  </r>
  <r>
    <s v="CLM-10499"/>
    <d v="2023-01-08T00:00:00"/>
    <d v="2023-03-19T00:00:00"/>
    <d v="2024-03-20T00:00:00"/>
    <n v="5343.31"/>
    <x v="0"/>
    <n v="14"/>
    <n v="2"/>
    <n v="2024"/>
    <x v="0"/>
  </r>
  <r>
    <s v="CLM-10213"/>
    <d v="2023-06-19T00:00:00"/>
    <d v="2023-07-13T00:00:00"/>
    <d v="2024-05-23T00:00:00"/>
    <n v="22128.45"/>
    <x v="0"/>
    <n v="11"/>
    <n v="1"/>
    <n v="2024"/>
    <x v="0"/>
  </r>
  <r>
    <s v="CLM-10054"/>
    <d v="2021-04-24T00:00:00"/>
    <d v="2021-05-10T00:00:00"/>
    <d v="2021-08-10T00:00:00"/>
    <n v="65856.89"/>
    <x v="1"/>
    <n v="4"/>
    <n v="1"/>
    <n v="2021"/>
    <x v="1"/>
  </r>
  <r>
    <s v="CLM-10240"/>
    <d v="2021-10-03T00:00:00"/>
    <d v="2021-12-16T00:00:00"/>
    <d v="2022-03-26T00:00:00"/>
    <n v="80512.89"/>
    <x v="1"/>
    <n v="5"/>
    <n v="1"/>
    <n v="2022"/>
    <x v="0"/>
  </r>
  <r>
    <s v="CLM-10374"/>
    <d v="2022-01-12T00:00:00"/>
    <d v="2022-02-11T00:00:00"/>
    <d v="2022-05-09T00:00:00"/>
    <n v="23015.34"/>
    <x v="2"/>
    <n v="4"/>
    <n v="1"/>
    <n v="2022"/>
    <x v="1"/>
  </r>
  <r>
    <s v="CLM-10371"/>
    <d v="2020-05-14T00:00:00"/>
    <d v="2020-06-27T00:00:00"/>
    <d v="2021-08-01T00:00:00"/>
    <n v="45292.95"/>
    <x v="3"/>
    <n v="15"/>
    <n v="2"/>
    <n v="2021"/>
    <x v="0"/>
  </r>
  <r>
    <s v="CLM-10426"/>
    <d v="2023-10-14T00:00:00"/>
    <d v="2023-11-25T00:00:00"/>
    <d v="2024-08-09T00:00:00"/>
    <n v="-15224.91"/>
    <x v="0"/>
    <n v="10"/>
    <n v="1"/>
    <n v="2024"/>
    <x v="0"/>
  </r>
  <r>
    <s v="CLM-10405"/>
    <d v="2021-01-28T00:00:00"/>
    <d v="2021-03-04T00:00:00"/>
    <d v="2022-03-18T00:00:00"/>
    <n v="46862.19"/>
    <x v="1"/>
    <n v="14"/>
    <n v="2"/>
    <n v="2022"/>
    <x v="0"/>
  </r>
  <r>
    <s v="CLM-10030"/>
    <d v="2023-06-22T00:00:00"/>
    <d v="2023-07-19T00:00:00"/>
    <d v="2024-05-30T00:00:00"/>
    <n v="15901.44"/>
    <x v="0"/>
    <n v="11"/>
    <n v="1"/>
    <n v="2024"/>
    <x v="0"/>
  </r>
  <r>
    <s v="CLM-10228"/>
    <d v="2020-02-22T00:00:00"/>
    <d v="2020-03-12T00:00:00"/>
    <d v="2020-09-04T00:00:00"/>
    <n v="35573.15"/>
    <x v="3"/>
    <n v="7"/>
    <n v="1"/>
    <n v="2020"/>
    <x v="1"/>
  </r>
  <r>
    <s v="CLM-10654"/>
    <d v="2021-12-04T00:00:00"/>
    <d v="2022-01-31T00:00:00"/>
    <d v="2023-02-11T00:00:00"/>
    <n v="4770.3500000000004"/>
    <x v="1"/>
    <n v="14"/>
    <n v="2"/>
    <n v="2023"/>
    <x v="2"/>
  </r>
  <r>
    <s v="CLM-10623"/>
    <d v="2023-07-24T00:00:00"/>
    <d v="2023-09-09T00:00:00"/>
    <d v="2023-12-18T00:00:00"/>
    <n v="19833.73"/>
    <x v="0"/>
    <n v="5"/>
    <n v="1"/>
    <n v="2023"/>
    <x v="1"/>
  </r>
  <r>
    <s v="CLM-10541"/>
    <d v="2020-09-07T00:00:00"/>
    <d v="2020-10-31T00:00:00"/>
    <d v="2021-03-18T00:00:00"/>
    <n v="52322.559999999998"/>
    <x v="3"/>
    <n v="6"/>
    <n v="1"/>
    <n v="2021"/>
    <x v="0"/>
  </r>
  <r>
    <s v="CLM-10377"/>
    <d v="2020-05-25T00:00:00"/>
    <d v="2020-07-25T00:00:00"/>
    <d v="2021-04-05T00:00:00"/>
    <n v="59760.08"/>
    <x v="3"/>
    <n v="11"/>
    <n v="1"/>
    <n v="2021"/>
    <x v="0"/>
  </r>
  <r>
    <s v="CLM-10599"/>
    <d v="2022-04-16T00:00:00"/>
    <d v="2022-06-04T00:00:00"/>
    <d v="2022-07-05T00:00:00"/>
    <n v="48441.14"/>
    <x v="2"/>
    <n v="3"/>
    <n v="1"/>
    <n v="2022"/>
    <x v="1"/>
  </r>
  <r>
    <s v="CLM-10583"/>
    <d v="2022-01-23T00:00:00"/>
    <d v="2022-04-19T00:00:00"/>
    <d v="2022-09-21T00:00:00"/>
    <n v="16816.849999999999"/>
    <x v="2"/>
    <n v="8"/>
    <n v="1"/>
    <n v="2022"/>
    <x v="1"/>
  </r>
  <r>
    <s v="CLM-10185"/>
    <d v="2023-05-04T00:00:00"/>
    <d v="2023-05-09T00:00:00"/>
    <d v="2024-10-30T00:00:00"/>
    <n v="73136.23"/>
    <x v="0"/>
    <n v="17"/>
    <n v="2"/>
    <n v="2024"/>
    <x v="0"/>
  </r>
  <r>
    <s v="CLM-10512"/>
    <d v="2020-04-05T00:00:00"/>
    <d v="2020-05-13T00:00:00"/>
    <d v="2020-07-16T00:00:00"/>
    <n v="25016.41"/>
    <x v="3"/>
    <n v="3"/>
    <n v="1"/>
    <n v="2020"/>
    <x v="1"/>
  </r>
  <r>
    <s v="CLM-10082"/>
    <d v="2023-06-17T00:00:00"/>
    <d v="2023-08-04T00:00:00"/>
    <d v="2024-03-09T00:00:00"/>
    <n v="-12037.14"/>
    <x v="0"/>
    <n v="9"/>
    <n v="1"/>
    <n v="2024"/>
    <x v="0"/>
  </r>
  <r>
    <s v="CLM-10487"/>
    <d v="2021-03-17T00:00:00"/>
    <d v="2021-05-22T00:00:00"/>
    <d v="2022-03-25T00:00:00"/>
    <n v="53005.56"/>
    <x v="1"/>
    <n v="12"/>
    <n v="1"/>
    <n v="2022"/>
    <x v="0"/>
  </r>
  <r>
    <s v="CLM-10285"/>
    <d v="2020-12-02T00:00:00"/>
    <d v="2021-02-21T00:00:00"/>
    <d v="2021-05-10T00:00:00"/>
    <n v="6606.64"/>
    <x v="3"/>
    <n v="5"/>
    <n v="1"/>
    <n v="2021"/>
    <x v="0"/>
  </r>
  <r>
    <s v="CLM-10444"/>
    <d v="2021-02-15T00:00:00"/>
    <d v="2021-04-08T00:00:00"/>
    <d v="2022-03-03T00:00:00"/>
    <n v="3506.31"/>
    <x v="1"/>
    <n v="13"/>
    <n v="2"/>
    <n v="2022"/>
    <x v="0"/>
  </r>
  <r>
    <s v="CLM-10365"/>
    <d v="2021-08-01T00:00:00"/>
    <d v="2021-08-17T00:00:00"/>
    <d v="2022-12-23T00:00:00"/>
    <n v="28943.05"/>
    <x v="1"/>
    <n v="16"/>
    <n v="2"/>
    <n v="2022"/>
    <x v="0"/>
  </r>
  <r>
    <s v="CLM-10356"/>
    <d v="2020-02-16T00:00:00"/>
    <d v="2020-03-08T00:00:00"/>
    <d v="2020-10-26T00:00:00"/>
    <n v="32901.129999999997"/>
    <x v="3"/>
    <n v="8"/>
    <n v="1"/>
    <n v="2020"/>
    <x v="1"/>
  </r>
  <r>
    <s v="CLM-10346"/>
    <d v="2022-10-15T00:00:00"/>
    <m/>
    <d v="2023-08-13T00:00:00"/>
    <n v="81665.27"/>
    <x v="2"/>
    <n v="10"/>
    <n v="1"/>
    <n v="2023"/>
    <x v="0"/>
  </r>
  <r>
    <s v="CLM-10473"/>
    <d v="2021-02-10T00:00:00"/>
    <d v="2021-04-08T00:00:00"/>
    <d v="2022-02-28T00:00:00"/>
    <n v="20548.79"/>
    <x v="1"/>
    <n v="12"/>
    <n v="1"/>
    <n v="2022"/>
    <x v="0"/>
  </r>
  <r>
    <s v="CLM-10478"/>
    <d v="2020-09-23T00:00:00"/>
    <d v="2020-12-14T00:00:00"/>
    <d v="2021-02-23T00:00:00"/>
    <n v="69814.97"/>
    <x v="3"/>
    <n v="5"/>
    <n v="1"/>
    <n v="2021"/>
    <x v="0"/>
  </r>
  <r>
    <s v="CLM-10142"/>
    <d v="2021-02-14T00:00:00"/>
    <d v="2021-04-15T00:00:00"/>
    <d v="2021-07-26T00:00:00"/>
    <n v="59632.88"/>
    <x v="1"/>
    <n v="5"/>
    <n v="1"/>
    <n v="2021"/>
    <x v="1"/>
  </r>
  <r>
    <s v="CLM-10552"/>
    <d v="2023-07-20T00:00:00"/>
    <d v="2023-10-15T00:00:00"/>
    <d v="2024-10-19T00:00:00"/>
    <n v="80226.09"/>
    <x v="0"/>
    <n v="15"/>
    <n v="2"/>
    <n v="2024"/>
    <x v="0"/>
  </r>
  <r>
    <s v="CLM-10484"/>
    <d v="2023-01-23T00:00:00"/>
    <d v="2023-03-30T00:00:00"/>
    <d v="2023-10-13T00:00:00"/>
    <n v="58556.17"/>
    <x v="0"/>
    <n v="9"/>
    <n v="1"/>
    <n v="2023"/>
    <x v="1"/>
  </r>
  <r>
    <s v="CLM-10593"/>
    <d v="2021-03-11T00:00:00"/>
    <d v="2021-05-26T00:00:00"/>
    <d v="2021-08-08T00:00:00"/>
    <n v="34101.74"/>
    <x v="1"/>
    <n v="5"/>
    <n v="1"/>
    <n v="2021"/>
    <x v="1"/>
  </r>
  <r>
    <s v="CLM-10486"/>
    <d v="2022-01-13T00:00:00"/>
    <d v="2022-02-05T00:00:00"/>
    <d v="2022-03-07T00:00:00"/>
    <n v="61154.6"/>
    <x v="2"/>
    <n v="2"/>
    <n v="1"/>
    <n v="2022"/>
    <x v="1"/>
  </r>
  <r>
    <s v="CLM-10702"/>
    <d v="2022-07-14T00:00:00"/>
    <d v="2022-07-29T00:00:00"/>
    <d v="2023-01-12T00:00:00"/>
    <n v="66690.899999999994"/>
    <x v="2"/>
    <n v="6"/>
    <n v="1"/>
    <n v="2023"/>
    <x v="0"/>
  </r>
  <r>
    <s v="CLM-10677"/>
    <d v="2024-05-25T00:00:00"/>
    <d v="2024-07-30T00:00:00"/>
    <d v="2025-03-03T00:00:00"/>
    <n v="53113.67"/>
    <x v="4"/>
    <n v="10"/>
    <n v="1"/>
    <n v="2025"/>
    <x v="0"/>
  </r>
  <r>
    <s v="CLM-10342"/>
    <d v="2022-09-06T00:00:00"/>
    <d v="2022-11-15T00:00:00"/>
    <d v="2023-03-23T00:00:00"/>
    <n v="-11203.82"/>
    <x v="2"/>
    <n v="6"/>
    <n v="1"/>
    <n v="2023"/>
    <x v="0"/>
  </r>
  <r>
    <s v="CLM-10668"/>
    <d v="2020-02-09T00:00:00"/>
    <d v="2020-02-23T00:00:00"/>
    <d v="2020-07-04T00:00:00"/>
    <n v="-5754.22"/>
    <x v="3"/>
    <n v="5"/>
    <n v="1"/>
    <n v="2020"/>
    <x v="1"/>
  </r>
  <r>
    <s v="CLM-10276"/>
    <d v="2022-06-03T00:00:00"/>
    <d v="2022-08-28T00:00:00"/>
    <d v="2023-01-24T00:00:00"/>
    <n v="69216.25"/>
    <x v="2"/>
    <n v="7"/>
    <n v="1"/>
    <n v="2023"/>
    <x v="0"/>
  </r>
  <r>
    <s v="CLM-10666"/>
    <d v="2022-01-27T00:00:00"/>
    <d v="2022-03-02T00:00:00"/>
    <d v="2022-12-31T00:00:00"/>
    <n v="39500.629999999997"/>
    <x v="2"/>
    <n v="11"/>
    <n v="1"/>
    <n v="2022"/>
    <x v="1"/>
  </r>
  <r>
    <s v="CLM-10356"/>
    <d v="2020-02-16T00:00:00"/>
    <d v="2020-03-08T00:00:00"/>
    <d v="2020-10-08T00:00:00"/>
    <n v="55738.95"/>
    <x v="3"/>
    <n v="8"/>
    <n v="1"/>
    <n v="2020"/>
    <x v="1"/>
  </r>
  <r>
    <s v="CLM-10457"/>
    <d v="2023-05-27T00:00:00"/>
    <d v="2023-08-16T00:00:00"/>
    <d v="2023-10-23T00:00:00"/>
    <n v="46082.73"/>
    <x v="0"/>
    <n v="5"/>
    <n v="1"/>
    <n v="2023"/>
    <x v="1"/>
  </r>
  <r>
    <s v="CLM-10468"/>
    <d v="2023-04-09T00:00:00"/>
    <d v="2023-05-27T00:00:00"/>
    <d v="2023-09-15T00:00:00"/>
    <n v="-13613.88"/>
    <x v="0"/>
    <n v="5"/>
    <n v="1"/>
    <n v="2023"/>
    <x v="1"/>
  </r>
  <r>
    <s v="CLM-10115"/>
    <d v="2024-01-09T00:00:00"/>
    <d v="2024-02-23T00:00:00"/>
    <d v="2025-03-19T00:00:00"/>
    <n v="14722.27"/>
    <x v="4"/>
    <n v="14"/>
    <n v="2"/>
    <n v="2025"/>
    <x v="0"/>
  </r>
  <r>
    <s v="CLM-10006"/>
    <d v="2024-06-27T00:00:00"/>
    <d v="2024-08-13T00:00:00"/>
    <d v="2024-09-21T00:00:00"/>
    <n v="33481.199999999997"/>
    <x v="4"/>
    <n v="3"/>
    <n v="1"/>
    <n v="2024"/>
    <x v="1"/>
  </r>
  <r>
    <s v="CLM-10265"/>
    <d v="2022-10-11T00:00:00"/>
    <d v="2022-11-08T00:00:00"/>
    <d v="2023-03-14T00:00:00"/>
    <n v="27386.58"/>
    <x v="2"/>
    <n v="5"/>
    <n v="1"/>
    <n v="2023"/>
    <x v="0"/>
  </r>
  <r>
    <s v="CLM-10787"/>
    <d v="2022-05-27T00:00:00"/>
    <m/>
    <d v="2023-07-12T00:00:00"/>
    <n v="4398.7700000000004"/>
    <x v="2"/>
    <n v="14"/>
    <n v="2"/>
    <n v="2023"/>
    <x v="0"/>
  </r>
  <r>
    <s v="CLM-10407"/>
    <d v="2021-01-21T00:00:00"/>
    <d v="2021-04-02T00:00:00"/>
    <d v="2021-12-10T00:00:00"/>
    <n v="42342"/>
    <x v="1"/>
    <n v="11"/>
    <n v="1"/>
    <n v="2021"/>
    <x v="1"/>
  </r>
  <r>
    <s v="CLM-10120"/>
    <d v="2024-05-22T00:00:00"/>
    <d v="2024-05-31T00:00:00"/>
    <d v="2024-11-01T00:00:00"/>
    <n v="81353.39"/>
    <x v="4"/>
    <n v="6"/>
    <n v="1"/>
    <n v="2024"/>
    <x v="1"/>
  </r>
  <r>
    <s v="CLM-10410"/>
    <d v="2023-09-28T00:00:00"/>
    <d v="2023-12-10T00:00:00"/>
    <d v="2024-06-14T00:00:00"/>
    <n v="21078.04"/>
    <x v="0"/>
    <n v="9"/>
    <n v="1"/>
    <n v="2024"/>
    <x v="0"/>
  </r>
  <r>
    <s v="CLM-10750"/>
    <d v="2023-10-11T00:00:00"/>
    <d v="2024-01-07T00:00:00"/>
    <d v="2024-08-26T00:00:00"/>
    <n v="8078.47"/>
    <x v="0"/>
    <n v="10"/>
    <n v="1"/>
    <n v="2024"/>
    <x v="0"/>
  </r>
  <r>
    <s v="CLM-10311"/>
    <d v="2020-12-29T00:00:00"/>
    <d v="2021-01-17T00:00:00"/>
    <d v="2021-10-02T00:00:00"/>
    <n v="13363.96"/>
    <x v="3"/>
    <n v="10"/>
    <n v="1"/>
    <n v="2021"/>
    <x v="0"/>
  </r>
  <r>
    <s v="CLM-10440"/>
    <d v="2020-11-24T00:00:00"/>
    <d v="2021-01-09T00:00:00"/>
    <d v="2021-08-22T00:00:00"/>
    <n v="68990.3"/>
    <x v="3"/>
    <n v="9"/>
    <n v="1"/>
    <n v="2021"/>
    <x v="0"/>
  </r>
  <r>
    <s v="CLM-10029"/>
    <d v="2021-03-21T00:00:00"/>
    <d v="2021-03-31T00:00:00"/>
    <d v="2022-05-31T00:00:00"/>
    <n v="37610.559999999998"/>
    <x v="1"/>
    <n v="14"/>
    <n v="2"/>
    <n v="2022"/>
    <x v="0"/>
  </r>
  <r>
    <s v="CLM-10297"/>
    <d v="2024-01-11T00:00:00"/>
    <d v="2024-02-17T00:00:00"/>
    <d v="2024-08-09T00:00:00"/>
    <n v="48518.9"/>
    <x v="4"/>
    <n v="7"/>
    <n v="1"/>
    <n v="2024"/>
    <x v="1"/>
  </r>
  <r>
    <s v="CLM-10127"/>
    <d v="2023-07-03T00:00:00"/>
    <d v="2023-07-11T00:00:00"/>
    <d v="2024-10-19T00:00:00"/>
    <n v="4949.71"/>
    <x v="0"/>
    <n v="15"/>
    <n v="2"/>
    <n v="2024"/>
    <x v="0"/>
  </r>
  <r>
    <s v="CLM-10672"/>
    <d v="2021-07-09T00:00:00"/>
    <d v="2021-08-25T00:00:00"/>
    <d v="2022-02-22T00:00:00"/>
    <n v="32379.4"/>
    <x v="1"/>
    <n v="7"/>
    <n v="1"/>
    <n v="2022"/>
    <x v="0"/>
  </r>
  <r>
    <s v="CLM-10783"/>
    <d v="2023-05-31T00:00:00"/>
    <d v="2023-07-12T00:00:00"/>
    <d v="2024-04-30T00:00:00"/>
    <n v="24796.1"/>
    <x v="0"/>
    <n v="11"/>
    <n v="1"/>
    <n v="2024"/>
    <x v="0"/>
  </r>
  <r>
    <s v="CLM-10593"/>
    <d v="2021-03-11T00:00:00"/>
    <d v="2021-05-26T00:00:00"/>
    <d v="2022-01-20T00:00:00"/>
    <n v="39061.68"/>
    <x v="1"/>
    <n v="10"/>
    <n v="1"/>
    <n v="2022"/>
    <x v="0"/>
  </r>
  <r>
    <s v="CLM-10728"/>
    <d v="2021-10-14T00:00:00"/>
    <d v="2021-12-24T00:00:00"/>
    <d v="2022-03-22T00:00:00"/>
    <n v="26693.26"/>
    <x v="1"/>
    <n v="5"/>
    <n v="1"/>
    <n v="2022"/>
    <x v="0"/>
  </r>
  <r>
    <s v="CLM-10534"/>
    <d v="2021-04-08T00:00:00"/>
    <d v="2021-04-10T00:00:00"/>
    <d v="2022-04-20T00:00:00"/>
    <n v="84139.28"/>
    <x v="1"/>
    <n v="12"/>
    <n v="1"/>
    <n v="2022"/>
    <x v="0"/>
  </r>
  <r>
    <s v="CLM-10469"/>
    <d v="2020-08-18T00:00:00"/>
    <d v="2020-10-31T00:00:00"/>
    <d v="2021-04-09T00:00:00"/>
    <n v="29709.53"/>
    <x v="3"/>
    <n v="8"/>
    <n v="1"/>
    <n v="2021"/>
    <x v="0"/>
  </r>
  <r>
    <s v="CLM-10769"/>
    <d v="2024-02-01T00:00:00"/>
    <d v="2024-04-02T00:00:00"/>
    <d v="2024-06-29T00:00:00"/>
    <n v="54754.05"/>
    <x v="4"/>
    <n v="4"/>
    <n v="1"/>
    <n v="2024"/>
    <x v="1"/>
  </r>
  <r>
    <s v="CLM-10583"/>
    <d v="2022-01-23T00:00:00"/>
    <d v="2022-04-19T00:00:00"/>
    <d v="2022-05-24T00:00:00"/>
    <n v="54733.95"/>
    <x v="2"/>
    <n v="4"/>
    <n v="1"/>
    <n v="2022"/>
    <x v="1"/>
  </r>
  <r>
    <s v="CLM-10375"/>
    <d v="2021-01-24T00:00:00"/>
    <d v="2021-04-03T00:00:00"/>
    <d v="2021-05-21T00:00:00"/>
    <n v="72956.149999999994"/>
    <x v="1"/>
    <n v="4"/>
    <n v="1"/>
    <n v="2021"/>
    <x v="1"/>
  </r>
  <r>
    <s v="CLM-10115"/>
    <d v="2024-01-09T00:00:00"/>
    <d v="2024-02-23T00:00:00"/>
    <d v="2024-09-08T00:00:00"/>
    <n v="11105.92"/>
    <x v="4"/>
    <n v="8"/>
    <n v="1"/>
    <n v="2024"/>
    <x v="1"/>
  </r>
  <r>
    <s v="CLM-10646"/>
    <d v="2021-06-05T00:00:00"/>
    <d v="2021-08-10T00:00:00"/>
    <d v="2022-03-26T00:00:00"/>
    <n v="11518.38"/>
    <x v="1"/>
    <n v="9"/>
    <n v="1"/>
    <n v="2022"/>
    <x v="0"/>
  </r>
  <r>
    <s v="CLM-10619"/>
    <d v="2022-07-06T00:00:00"/>
    <d v="2022-07-10T00:00:00"/>
    <d v="2023-04-29T00:00:00"/>
    <n v="65997.73"/>
    <x v="2"/>
    <n v="9"/>
    <n v="1"/>
    <n v="2023"/>
    <x v="0"/>
  </r>
  <r>
    <s v="CLM-10292"/>
    <d v="2020-04-20T00:00:00"/>
    <d v="2020-05-25T00:00:00"/>
    <d v="2022-02-02T00:00:00"/>
    <n v="-5805.07"/>
    <x v="3"/>
    <n v="22"/>
    <n v="2"/>
    <n v="2022"/>
    <x v="2"/>
  </r>
  <r>
    <s v="CLM-10203"/>
    <d v="2021-06-26T00:00:00"/>
    <d v="2021-07-27T00:00:00"/>
    <d v="2022-02-09T00:00:00"/>
    <n v="16694.009999999998"/>
    <x v="1"/>
    <n v="8"/>
    <n v="1"/>
    <n v="2022"/>
    <x v="0"/>
  </r>
  <r>
    <s v="CLM-10169"/>
    <d v="2021-03-20T00:00:00"/>
    <d v="2021-04-11T00:00:00"/>
    <d v="2022-02-16T00:00:00"/>
    <n v="69897.87"/>
    <x v="1"/>
    <n v="11"/>
    <n v="1"/>
    <n v="2022"/>
    <x v="0"/>
  </r>
  <r>
    <s v="CLM-10144"/>
    <d v="2022-04-24T00:00:00"/>
    <m/>
    <d v="2022-10-03T00:00:00"/>
    <n v="-11467.93"/>
    <x v="2"/>
    <n v="6"/>
    <n v="1"/>
    <n v="2022"/>
    <x v="1"/>
  </r>
  <r>
    <s v="CLM-10601"/>
    <d v="2021-10-19T00:00:00"/>
    <d v="2021-12-26T00:00:00"/>
    <d v="2022-09-06T00:00:00"/>
    <n v="62382.78"/>
    <x v="1"/>
    <n v="11"/>
    <n v="1"/>
    <n v="2022"/>
    <x v="0"/>
  </r>
  <r>
    <s v="CLM-10177"/>
    <d v="2020-02-03T00:00:00"/>
    <d v="2020-03-24T00:00:00"/>
    <d v="2021-09-11T00:00:00"/>
    <n v="-14574.46"/>
    <x v="3"/>
    <n v="19"/>
    <n v="2"/>
    <n v="2021"/>
    <x v="0"/>
  </r>
  <r>
    <s v="CLM-10471"/>
    <d v="2023-07-20T00:00:00"/>
    <d v="2023-07-24T00:00:00"/>
    <d v="2024-04-07T00:00:00"/>
    <n v="63230.99"/>
    <x v="0"/>
    <n v="9"/>
    <n v="1"/>
    <n v="2024"/>
    <x v="0"/>
  </r>
  <r>
    <s v="CLM-10358"/>
    <d v="2020-05-24T00:00:00"/>
    <d v="2020-08-17T00:00:00"/>
    <d v="2021-08-25T00:00:00"/>
    <n v="71147.63"/>
    <x v="3"/>
    <n v="15"/>
    <n v="2"/>
    <n v="2021"/>
    <x v="0"/>
  </r>
  <r>
    <s v="CLM-10462"/>
    <d v="2020-07-23T00:00:00"/>
    <d v="2020-08-15T00:00:00"/>
    <d v="2020-10-21T00:00:00"/>
    <n v="-17586.47"/>
    <x v="3"/>
    <n v="3"/>
    <n v="1"/>
    <n v="2020"/>
    <x v="1"/>
  </r>
  <r>
    <s v="CLM-10040"/>
    <d v="2022-01-05T00:00:00"/>
    <m/>
    <d v="2023-04-11T00:00:00"/>
    <n v="60315.89"/>
    <x v="2"/>
    <n v="15"/>
    <n v="2"/>
    <n v="2023"/>
    <x v="0"/>
  </r>
  <r>
    <s v="CLM-10185"/>
    <d v="2023-05-04T00:00:00"/>
    <d v="2023-05-09T00:00:00"/>
    <d v="2024-08-12T00:00:00"/>
    <n v="74997.289999999994"/>
    <x v="0"/>
    <n v="15"/>
    <n v="2"/>
    <n v="2024"/>
    <x v="0"/>
  </r>
  <r>
    <s v="CLM-10752"/>
    <d v="2021-01-26T00:00:00"/>
    <d v="2021-03-05T00:00:00"/>
    <d v="2021-07-01T00:00:00"/>
    <n v="13005.65"/>
    <x v="1"/>
    <n v="6"/>
    <n v="1"/>
    <n v="2021"/>
    <x v="1"/>
  </r>
  <r>
    <s v="CLM-10751"/>
    <d v="2024-03-24T00:00:00"/>
    <d v="2024-05-25T00:00:00"/>
    <d v="2024-11-22T00:00:00"/>
    <n v="-12587.76"/>
    <x v="4"/>
    <n v="8"/>
    <n v="1"/>
    <n v="2024"/>
    <x v="1"/>
  </r>
  <r>
    <s v="CLM-10353"/>
    <d v="2020-04-10T00:00:00"/>
    <d v="2020-07-04T00:00:00"/>
    <d v="2020-10-06T00:00:00"/>
    <n v="7198.4"/>
    <x v="3"/>
    <n v="6"/>
    <n v="1"/>
    <n v="2020"/>
    <x v="1"/>
  </r>
  <r>
    <s v="CLM-10743"/>
    <d v="2023-05-19T00:00:00"/>
    <d v="2023-08-15T00:00:00"/>
    <d v="2024-08-20T00:00:00"/>
    <n v="63311.6"/>
    <x v="0"/>
    <n v="15"/>
    <n v="2"/>
    <n v="2024"/>
    <x v="0"/>
  </r>
  <r>
    <s v="CLM-10189"/>
    <d v="2024-06-29T00:00:00"/>
    <m/>
    <d v="2025-02-18T00:00:00"/>
    <n v="55024.15"/>
    <x v="4"/>
    <n v="8"/>
    <n v="1"/>
    <n v="2025"/>
    <x v="0"/>
  </r>
  <r>
    <s v="CLM-10049"/>
    <d v="2021-03-15T00:00:00"/>
    <d v="2021-06-04T00:00:00"/>
    <d v="2021-07-04T00:00:00"/>
    <n v="31104.58"/>
    <x v="1"/>
    <n v="4"/>
    <n v="1"/>
    <n v="2021"/>
    <x v="1"/>
  </r>
  <r>
    <s v="CLM-10175"/>
    <d v="2021-11-06T00:00:00"/>
    <d v="2021-11-19T00:00:00"/>
    <d v="2022-05-31T00:00:00"/>
    <n v="49421.15"/>
    <x v="1"/>
    <n v="6"/>
    <n v="1"/>
    <n v="2022"/>
    <x v="0"/>
  </r>
  <r>
    <s v="CLM-10408"/>
    <d v="2020-04-25T00:00:00"/>
    <d v="2020-07-07T00:00:00"/>
    <d v="2021-06-01T00:00:00"/>
    <n v="-20570.259999999998"/>
    <x v="3"/>
    <n v="14"/>
    <n v="2"/>
    <n v="2021"/>
    <x v="0"/>
  </r>
  <r>
    <s v="CLM-10151"/>
    <d v="2022-07-14T00:00:00"/>
    <d v="2022-09-25T00:00:00"/>
    <d v="2023-08-26T00:00:00"/>
    <n v="-6098.94"/>
    <x v="2"/>
    <n v="13"/>
    <n v="2"/>
    <n v="2023"/>
    <x v="0"/>
  </r>
  <r>
    <s v="CLM-10241"/>
    <d v="2021-01-14T00:00:00"/>
    <d v="2021-04-13T00:00:00"/>
    <d v="2021-12-13T00:00:00"/>
    <n v="59423.71"/>
    <x v="1"/>
    <n v="11"/>
    <n v="1"/>
    <n v="2021"/>
    <x v="1"/>
  </r>
  <r>
    <s v="CLM-10779"/>
    <d v="2023-07-09T00:00:00"/>
    <d v="2023-09-12T00:00:00"/>
    <d v="2024-01-30T00:00:00"/>
    <n v="-9411.81"/>
    <x v="0"/>
    <n v="6"/>
    <n v="1"/>
    <n v="2024"/>
    <x v="0"/>
  </r>
  <r>
    <s v="CLM-10090"/>
    <d v="2020-03-13T00:00:00"/>
    <d v="2020-06-01T00:00:00"/>
    <d v="2020-11-02T00:00:00"/>
    <n v="-22172.41"/>
    <x v="3"/>
    <n v="8"/>
    <n v="1"/>
    <n v="2020"/>
    <x v="1"/>
  </r>
  <r>
    <s v="CLM-10169"/>
    <d v="2021-03-20T00:00:00"/>
    <d v="2021-04-11T00:00:00"/>
    <d v="2021-08-26T00:00:00"/>
    <n v="2702328.33"/>
    <x v="1"/>
    <n v="5"/>
    <n v="1"/>
    <n v="2021"/>
    <x v="1"/>
  </r>
  <r>
    <s v="CLM-10738"/>
    <d v="2020-12-21T00:00:00"/>
    <d v="2021-02-27T00:00:00"/>
    <d v="2021-04-11T00:00:00"/>
    <n v="55006.07"/>
    <x v="3"/>
    <n v="4"/>
    <n v="1"/>
    <n v="2021"/>
    <x v="0"/>
  </r>
  <r>
    <s v="CLM-10589"/>
    <d v="2020-01-24T00:00:00"/>
    <d v="2020-04-20T00:00:00"/>
    <d v="2020-09-15T00:00:00"/>
    <n v="6410.71"/>
    <x v="3"/>
    <n v="8"/>
    <n v="1"/>
    <n v="2020"/>
    <x v="1"/>
  </r>
  <r>
    <s v="CLM-10201"/>
    <d v="2024-11-01T00:00:00"/>
    <d v="2025-01-21T00:00:00"/>
    <d v="2025-05-17T00:00:00"/>
    <n v="31502.94"/>
    <x v="4"/>
    <n v="6"/>
    <n v="1"/>
    <n v="2025"/>
    <x v="0"/>
  </r>
  <r>
    <s v="CLM-10559"/>
    <d v="2023-09-22T00:00:00"/>
    <d v="2023-10-25T00:00:00"/>
    <d v="2024-02-09T00:00:00"/>
    <n v="59579.3"/>
    <x v="0"/>
    <n v="5"/>
    <n v="1"/>
    <n v="2024"/>
    <x v="0"/>
  </r>
  <r>
    <s v="CLM-10001"/>
    <d v="2020-07-08T00:00:00"/>
    <d v="2020-09-11T00:00:00"/>
    <d v="2021-11-18T00:00:00"/>
    <n v="64061.13"/>
    <x v="3"/>
    <n v="16"/>
    <n v="2"/>
    <n v="2021"/>
    <x v="0"/>
  </r>
  <r>
    <s v="CLM-10489"/>
    <d v="2021-06-29T00:00:00"/>
    <d v="2021-07-21T00:00:00"/>
    <d v="2021-12-22T00:00:00"/>
    <n v="4616.0600000000004"/>
    <x v="1"/>
    <n v="6"/>
    <n v="1"/>
    <n v="2021"/>
    <x v="1"/>
  </r>
  <r>
    <s v="CLM-10109"/>
    <d v="2020-09-29T00:00:00"/>
    <d v="2020-10-24T00:00:00"/>
    <d v="2021-09-03T00:00:00"/>
    <n v="50902.25"/>
    <x v="3"/>
    <n v="12"/>
    <n v="1"/>
    <n v="2021"/>
    <x v="0"/>
  </r>
  <r>
    <s v="CLM-10733"/>
    <d v="2021-09-06T00:00:00"/>
    <d v="2021-10-18T00:00:00"/>
    <d v="2022-01-20T00:00:00"/>
    <n v="48250.2"/>
    <x v="1"/>
    <n v="4"/>
    <n v="1"/>
    <n v="2022"/>
    <x v="0"/>
  </r>
  <r>
    <s v="CLM-10387"/>
    <d v="2022-08-14T00:00:00"/>
    <d v="2022-09-25T00:00:00"/>
    <d v="2023-03-23T00:00:00"/>
    <n v="46263.21"/>
    <x v="2"/>
    <n v="7"/>
    <n v="1"/>
    <n v="2023"/>
    <x v="0"/>
  </r>
  <r>
    <s v="CLM-10353"/>
    <d v="2020-04-10T00:00:00"/>
    <d v="2020-07-04T00:00:00"/>
    <d v="2021-05-06T00:00:00"/>
    <n v="37107.07"/>
    <x v="3"/>
    <n v="13"/>
    <n v="2"/>
    <n v="2021"/>
    <x v="0"/>
  </r>
  <r>
    <s v="CLM-10084"/>
    <d v="2022-06-24T00:00:00"/>
    <d v="2022-08-20T00:00:00"/>
    <d v="2022-12-31T00:00:00"/>
    <n v="15845.77"/>
    <x v="2"/>
    <n v="6"/>
    <n v="1"/>
    <n v="2022"/>
    <x v="1"/>
  </r>
  <r>
    <s v="CLM-10730"/>
    <d v="2020-03-13T00:00:00"/>
    <d v="2020-03-31T00:00:00"/>
    <d v="2021-03-17T00:00:00"/>
    <n v="47193.29"/>
    <x v="3"/>
    <n v="12"/>
    <n v="1"/>
    <n v="2021"/>
    <x v="0"/>
  </r>
  <r>
    <s v="CLM-10632"/>
    <d v="2020-11-27T00:00:00"/>
    <d v="2021-02-19T00:00:00"/>
    <d v="2022-07-17T00:00:00"/>
    <n v="-13288.74"/>
    <x v="3"/>
    <n v="20"/>
    <n v="2"/>
    <n v="2022"/>
    <x v="2"/>
  </r>
  <r>
    <s v="CLM-10743"/>
    <d v="2023-05-19T00:00:00"/>
    <d v="2023-08-15T00:00:00"/>
    <d v="2025-01-07T00:00:00"/>
    <n v="-23496.17"/>
    <x v="0"/>
    <n v="20"/>
    <n v="2"/>
    <n v="2025"/>
    <x v="2"/>
  </r>
  <r>
    <s v="CLM-10187"/>
    <d v="2020-07-28T00:00:00"/>
    <d v="2020-08-05T00:00:00"/>
    <d v="2020-12-19T00:00:00"/>
    <n v="-12173.7"/>
    <x v="3"/>
    <n v="5"/>
    <n v="1"/>
    <n v="2020"/>
    <x v="1"/>
  </r>
  <r>
    <s v="CLM-10325"/>
    <d v="2023-06-18T00:00:00"/>
    <d v="2023-08-06T00:00:00"/>
    <d v="2024-05-01T00:00:00"/>
    <n v="42090.53"/>
    <x v="0"/>
    <n v="11"/>
    <n v="1"/>
    <n v="2024"/>
    <x v="0"/>
  </r>
  <r>
    <s v="CLM-10364"/>
    <d v="2024-06-19T00:00:00"/>
    <d v="2024-07-06T00:00:00"/>
    <d v="2024-09-03T00:00:00"/>
    <n v="-12473.59"/>
    <x v="4"/>
    <n v="3"/>
    <n v="1"/>
    <n v="2024"/>
    <x v="1"/>
  </r>
  <r>
    <s v="CLM-10641"/>
    <d v="2020-01-14T00:00:00"/>
    <d v="2020-04-05T00:00:00"/>
    <d v="2020-11-07T00:00:00"/>
    <n v="57686.34"/>
    <x v="3"/>
    <n v="10"/>
    <n v="1"/>
    <n v="2020"/>
    <x v="1"/>
  </r>
  <r>
    <s v="CLM-10247"/>
    <d v="2023-06-10T00:00:00"/>
    <d v="2023-09-03T00:00:00"/>
    <d v="2023-10-25T00:00:00"/>
    <n v="16929.89"/>
    <x v="0"/>
    <n v="4"/>
    <n v="1"/>
    <n v="2023"/>
    <x v="1"/>
  </r>
  <r>
    <s v="CLM-10231"/>
    <d v="2021-01-02T00:00:00"/>
    <d v="2021-02-19T00:00:00"/>
    <d v="2022-02-28T00:00:00"/>
    <n v="45243.95"/>
    <x v="1"/>
    <n v="13"/>
    <n v="2"/>
    <n v="2022"/>
    <x v="0"/>
  </r>
  <r>
    <s v="CLM-10231"/>
    <d v="2021-01-02T00:00:00"/>
    <d v="2021-02-19T00:00:00"/>
    <d v="2021-11-14T00:00:00"/>
    <n v="-3593.11"/>
    <x v="1"/>
    <n v="10"/>
    <n v="1"/>
    <n v="2021"/>
    <x v="1"/>
  </r>
  <r>
    <s v="CLM-10351"/>
    <d v="2020-01-23T00:00:00"/>
    <d v="2020-01-25T00:00:00"/>
    <d v="2020-07-08T00:00:00"/>
    <n v="20288.240000000002"/>
    <x v="3"/>
    <n v="6"/>
    <n v="1"/>
    <n v="2020"/>
    <x v="1"/>
  </r>
  <r>
    <s v="CLM-10216"/>
    <d v="2020-12-26T00:00:00"/>
    <d v="2021-01-26T00:00:00"/>
    <d v="2022-02-10T00:00:00"/>
    <n v="79985.679999999993"/>
    <x v="3"/>
    <n v="14"/>
    <n v="2"/>
    <n v="2022"/>
    <x v="2"/>
  </r>
  <r>
    <s v="CLM-10742"/>
    <d v="2024-05-23T00:00:00"/>
    <d v="2024-06-24T00:00:00"/>
    <d v="2024-12-12T00:00:00"/>
    <n v="34073.519999999997"/>
    <x v="4"/>
    <n v="7"/>
    <n v="1"/>
    <n v="2024"/>
    <x v="1"/>
  </r>
  <r>
    <s v="CLM-10071"/>
    <d v="2022-07-07T00:00:00"/>
    <d v="2022-07-11T00:00:00"/>
    <d v="2022-09-02T00:00:00"/>
    <n v="-14358.49"/>
    <x v="2"/>
    <n v="2"/>
    <n v="1"/>
    <n v="2022"/>
    <x v="1"/>
  </r>
  <r>
    <s v="CLM-10176"/>
    <d v="2023-10-06T00:00:00"/>
    <d v="2023-11-14T00:00:00"/>
    <d v="2024-11-23T00:00:00"/>
    <n v="22718.400000000001"/>
    <x v="0"/>
    <n v="13"/>
    <n v="2"/>
    <n v="2024"/>
    <x v="0"/>
  </r>
  <r>
    <s v="CLM-10495"/>
    <d v="2020-05-14T00:00:00"/>
    <d v="2020-08-08T00:00:00"/>
    <d v="2022-06-07T00:00:00"/>
    <n v="31233.02"/>
    <x v="3"/>
    <n v="25"/>
    <n v="3"/>
    <n v="2022"/>
    <x v="2"/>
  </r>
  <r>
    <s v="CLM-10745"/>
    <d v="2020-09-17T00:00:00"/>
    <d v="2020-11-16T00:00:00"/>
    <d v="2021-04-22T00:00:00"/>
    <n v="53844.09"/>
    <x v="3"/>
    <n v="7"/>
    <n v="1"/>
    <n v="2021"/>
    <x v="0"/>
  </r>
  <r>
    <s v="CLM-10537"/>
    <d v="2020-09-21T00:00:00"/>
    <d v="2020-09-23T00:00:00"/>
    <d v="2021-03-10T00:00:00"/>
    <n v="8226.0400000000009"/>
    <x v="3"/>
    <n v="6"/>
    <n v="1"/>
    <n v="2021"/>
    <x v="0"/>
  </r>
  <r>
    <s v="CLM-10009"/>
    <d v="2022-02-22T00:00:00"/>
    <d v="2022-03-08T00:00:00"/>
    <d v="2022-09-13T00:00:00"/>
    <n v="19601.759999999998"/>
    <x v="2"/>
    <n v="7"/>
    <n v="1"/>
    <n v="2022"/>
    <x v="1"/>
  </r>
  <r>
    <s v="CLM-10393"/>
    <d v="2020-05-19T00:00:00"/>
    <d v="2020-06-04T00:00:00"/>
    <d v="2020-12-11T00:00:00"/>
    <n v="1342831.87"/>
    <x v="3"/>
    <n v="7"/>
    <n v="1"/>
    <n v="2020"/>
    <x v="1"/>
  </r>
  <r>
    <s v="CLM-10753"/>
    <d v="2022-06-29T00:00:00"/>
    <d v="2022-08-01T00:00:00"/>
    <d v="2023-07-12T00:00:00"/>
    <n v="-18212.47"/>
    <x v="2"/>
    <n v="13"/>
    <n v="2"/>
    <n v="2023"/>
    <x v="0"/>
  </r>
  <r>
    <s v="CLM-10183"/>
    <d v="2024-10-14T00:00:00"/>
    <d v="2024-10-22T00:00:00"/>
    <d v="2025-04-10T00:00:00"/>
    <n v="29343.46"/>
    <x v="4"/>
    <n v="6"/>
    <n v="1"/>
    <n v="2025"/>
    <x v="0"/>
  </r>
  <r>
    <s v="CLM-10343"/>
    <d v="2022-03-08T00:00:00"/>
    <d v="2022-05-10T00:00:00"/>
    <d v="2023-04-21T00:00:00"/>
    <n v="39672.26"/>
    <x v="2"/>
    <n v="13"/>
    <n v="2"/>
    <n v="2023"/>
    <x v="0"/>
  </r>
  <r>
    <s v="CLM-10732"/>
    <d v="2024-04-29T00:00:00"/>
    <d v="2024-05-02T00:00:00"/>
    <d v="2024-08-26T00:00:00"/>
    <n v="80389.34"/>
    <x v="4"/>
    <n v="4"/>
    <n v="1"/>
    <n v="2024"/>
    <x v="1"/>
  </r>
  <r>
    <s v="CLM-10152"/>
    <d v="2021-03-28T00:00:00"/>
    <d v="2021-04-15T00:00:00"/>
    <d v="2021-10-01T00:00:00"/>
    <n v="27393.06"/>
    <x v="1"/>
    <n v="7"/>
    <n v="1"/>
    <n v="2021"/>
    <x v="1"/>
  </r>
  <r>
    <s v="CLM-10277"/>
    <d v="2023-05-27T00:00:00"/>
    <d v="2023-07-24T00:00:00"/>
    <d v="2023-09-20T00:00:00"/>
    <n v="61773.29"/>
    <x v="0"/>
    <n v="4"/>
    <n v="1"/>
    <n v="2023"/>
    <x v="1"/>
  </r>
  <r>
    <s v="CLM-10733"/>
    <d v="2021-09-06T00:00:00"/>
    <d v="2021-10-18T00:00:00"/>
    <d v="2022-11-13T00:00:00"/>
    <n v="46551.18"/>
    <x v="1"/>
    <n v="14"/>
    <n v="2"/>
    <n v="2022"/>
    <x v="0"/>
  </r>
  <r>
    <s v="CLM-10736"/>
    <d v="2021-11-10T00:00:00"/>
    <d v="2022-01-29T00:00:00"/>
    <d v="2022-05-31T00:00:00"/>
    <n v="51260.7"/>
    <x v="1"/>
    <n v="6"/>
    <n v="1"/>
    <n v="2022"/>
    <x v="0"/>
  </r>
  <r>
    <s v="CLM-10339"/>
    <d v="2024-08-14T00:00:00"/>
    <d v="2024-08-24T00:00:00"/>
    <d v="2024-12-14T00:00:00"/>
    <n v="69316.77"/>
    <x v="4"/>
    <n v="4"/>
    <n v="1"/>
    <n v="2024"/>
    <x v="1"/>
  </r>
  <r>
    <s v="CLM-10716"/>
    <d v="2021-05-12T00:00:00"/>
    <d v="2021-08-06T00:00:00"/>
    <d v="2021-11-22T00:00:00"/>
    <n v="73924.800000000003"/>
    <x v="1"/>
    <n v="6"/>
    <n v="1"/>
    <n v="2021"/>
    <x v="1"/>
  </r>
  <r>
    <s v="CLM-10358"/>
    <d v="2020-05-24T00:00:00"/>
    <d v="2020-08-17T00:00:00"/>
    <d v="2020-04-11T00:00:00"/>
    <n v="41963.93"/>
    <x v="3"/>
    <n v="-1"/>
    <n v="0"/>
    <n v="2020"/>
    <x v="1"/>
  </r>
  <r>
    <s v="CLM-10438"/>
    <d v="2021-10-20T00:00:00"/>
    <d v="2021-11-28T00:00:00"/>
    <d v="2022-08-20T00:00:00"/>
    <n v="31567.95"/>
    <x v="1"/>
    <n v="10"/>
    <n v="1"/>
    <n v="2022"/>
    <x v="0"/>
  </r>
  <r>
    <s v="CLM-10587"/>
    <d v="2020-08-02T00:00:00"/>
    <m/>
    <d v="2021-04-24T00:00:00"/>
    <n v="8098.69"/>
    <x v="3"/>
    <n v="8"/>
    <n v="1"/>
    <n v="2021"/>
    <x v="0"/>
  </r>
  <r>
    <s v="CLM-10270"/>
    <d v="2023-06-06T00:00:00"/>
    <d v="2023-08-19T00:00:00"/>
    <d v="2024-10-28T00:00:00"/>
    <n v="37089.67"/>
    <x v="0"/>
    <n v="16"/>
    <n v="2"/>
    <n v="2024"/>
    <x v="0"/>
  </r>
  <r>
    <s v="CLM-10734"/>
    <d v="2020-05-02T00:00:00"/>
    <d v="2020-06-10T00:00:00"/>
    <d v="2020-09-23T00:00:00"/>
    <n v="45802.84"/>
    <x v="3"/>
    <n v="4"/>
    <n v="1"/>
    <n v="2020"/>
    <x v="1"/>
  </r>
  <r>
    <s v="CLM-10576"/>
    <d v="2022-12-16T00:00:00"/>
    <d v="2023-02-17T00:00:00"/>
    <d v="2023-03-06T00:00:00"/>
    <n v="50796.58"/>
    <x v="2"/>
    <n v="3"/>
    <n v="1"/>
    <n v="2023"/>
    <x v="0"/>
  </r>
  <r>
    <s v="CLM-10744"/>
    <d v="2020-01-22T00:00:00"/>
    <d v="2020-03-10T00:00:00"/>
    <d v="2020-08-20T00:00:00"/>
    <n v="83672.570000000007"/>
    <x v="3"/>
    <n v="7"/>
    <n v="1"/>
    <n v="2020"/>
    <x v="1"/>
  </r>
  <r>
    <s v="CLM-10655"/>
    <d v="2022-01-16T00:00:00"/>
    <d v="2022-03-18T00:00:00"/>
    <d v="2022-05-09T00:00:00"/>
    <n v="-17096.45"/>
    <x v="2"/>
    <n v="4"/>
    <n v="1"/>
    <n v="2022"/>
    <x v="1"/>
  </r>
  <r>
    <s v="CLM-10680"/>
    <d v="2022-12-29T00:00:00"/>
    <d v="2023-01-30T00:00:00"/>
    <d v="2023-09-09T00:00:00"/>
    <n v="41297.78"/>
    <x v="2"/>
    <n v="9"/>
    <n v="1"/>
    <n v="2023"/>
    <x v="0"/>
  </r>
  <r>
    <s v="CLM-10692"/>
    <d v="2021-08-14T00:00:00"/>
    <d v="2021-11-11T00:00:00"/>
    <d v="2022-05-07T00:00:00"/>
    <n v="78584.399999999994"/>
    <x v="1"/>
    <n v="9"/>
    <n v="1"/>
    <n v="2022"/>
    <x v="0"/>
  </r>
  <r>
    <s v="CLM-10775"/>
    <d v="2022-05-02T00:00:00"/>
    <d v="2022-07-26T00:00:00"/>
    <d v="2022-12-15T00:00:00"/>
    <n v="83937.35"/>
    <x v="2"/>
    <n v="7"/>
    <n v="1"/>
    <n v="2022"/>
    <x v="1"/>
  </r>
  <r>
    <s v="CLM-10099"/>
    <d v="2022-04-18T00:00:00"/>
    <d v="2022-07-05T00:00:00"/>
    <d v="2023-10-28T00:00:00"/>
    <n v="-22839.16"/>
    <x v="2"/>
    <n v="18"/>
    <n v="2"/>
    <n v="2023"/>
    <x v="0"/>
  </r>
  <r>
    <s v="CLM-10040"/>
    <d v="2022-01-05T00:00:00"/>
    <m/>
    <d v="2022-06-25T00:00:00"/>
    <n v="46261.71"/>
    <x v="2"/>
    <n v="5"/>
    <n v="1"/>
    <n v="2022"/>
    <x v="1"/>
  </r>
  <r>
    <s v="CLM-10219"/>
    <d v="2024-08-21T00:00:00"/>
    <d v="2024-10-20T00:00:00"/>
    <d v="2025-05-13T00:00:00"/>
    <n v="47571.96"/>
    <x v="4"/>
    <n v="9"/>
    <n v="1"/>
    <n v="2025"/>
    <x v="0"/>
  </r>
  <r>
    <s v="CLM-10066"/>
    <d v="2024-05-14T00:00:00"/>
    <d v="2024-07-16T00:00:00"/>
    <d v="2024-11-26T00:00:00"/>
    <n v="38337.870000000003"/>
    <x v="4"/>
    <n v="6"/>
    <n v="1"/>
    <n v="2024"/>
    <x v="1"/>
  </r>
  <r>
    <s v="CLM-10205"/>
    <d v="2020-05-07T00:00:00"/>
    <d v="2020-05-31T00:00:00"/>
    <d v="2022-08-10T00:00:00"/>
    <n v="50602.97"/>
    <x v="3"/>
    <n v="27"/>
    <n v="3"/>
    <n v="2022"/>
    <x v="2"/>
  </r>
  <r>
    <s v="CLM-10429"/>
    <d v="2020-04-12T00:00:00"/>
    <d v="2020-06-20T00:00:00"/>
    <d v="2021-06-16T00:00:00"/>
    <n v="14840.83"/>
    <x v="3"/>
    <n v="14"/>
    <n v="2"/>
    <n v="2021"/>
    <x v="0"/>
  </r>
  <r>
    <s v="CLM-10520"/>
    <d v="2023-01-27T00:00:00"/>
    <d v="2023-04-12T00:00:00"/>
    <d v="2024-01-05T00:00:00"/>
    <n v="80722.320000000007"/>
    <x v="0"/>
    <n v="12"/>
    <n v="1"/>
    <n v="2024"/>
    <x v="0"/>
  </r>
  <r>
    <s v="CLM-10657"/>
    <d v="2023-02-24T00:00:00"/>
    <d v="2023-05-21T00:00:00"/>
    <d v="2024-08-04T00:00:00"/>
    <n v="54518.35"/>
    <x v="0"/>
    <n v="18"/>
    <n v="2"/>
    <n v="2024"/>
    <x v="0"/>
  </r>
  <r>
    <s v="CLM-10078"/>
    <d v="2023-04-06T00:00:00"/>
    <d v="2023-05-26T00:00:00"/>
    <d v="2023-10-11T00:00:00"/>
    <n v="35225.22"/>
    <x v="0"/>
    <n v="6"/>
    <n v="1"/>
    <n v="2023"/>
    <x v="1"/>
  </r>
  <r>
    <s v="CLM-10639"/>
    <d v="2021-05-03T00:00:00"/>
    <d v="2021-07-09T00:00:00"/>
    <d v="2021-09-30T00:00:00"/>
    <n v="78650.98"/>
    <x v="1"/>
    <n v="4"/>
    <n v="1"/>
    <n v="2021"/>
    <x v="1"/>
  </r>
  <r>
    <s v="CLM-10267"/>
    <d v="2020-04-20T00:00:00"/>
    <d v="2020-04-21T00:00:00"/>
    <d v="2020-08-28T00:00:00"/>
    <n v="-15858.6"/>
    <x v="3"/>
    <n v="4"/>
    <n v="1"/>
    <n v="2020"/>
    <x v="1"/>
  </r>
  <r>
    <s v="CLM-10112"/>
    <d v="2022-08-24T00:00:00"/>
    <d v="2022-10-23T00:00:00"/>
    <d v="2024-04-09T00:00:00"/>
    <n v="77303.69"/>
    <x v="2"/>
    <n v="20"/>
    <n v="2"/>
    <n v="2024"/>
    <x v="2"/>
  </r>
  <r>
    <s v="CLM-10092"/>
    <d v="2020-06-15T00:00:00"/>
    <d v="2020-09-08T00:00:00"/>
    <d v="2021-02-15T00:00:00"/>
    <n v="82665.47"/>
    <x v="3"/>
    <n v="8"/>
    <n v="1"/>
    <n v="2021"/>
    <x v="0"/>
  </r>
  <r>
    <s v="CLM-10607"/>
    <d v="2024-01-21T00:00:00"/>
    <d v="2024-02-22T00:00:00"/>
    <d v="2024-07-10T00:00:00"/>
    <n v="13643.45"/>
    <x v="4"/>
    <n v="6"/>
    <n v="1"/>
    <n v="2024"/>
    <x v="1"/>
  </r>
  <r>
    <s v="CLM-10118"/>
    <d v="2024-12-20T00:00:00"/>
    <d v="2025-01-20T00:00:00"/>
    <d v="2025-05-04T00:00:00"/>
    <n v="47681.919999999998"/>
    <x v="4"/>
    <n v="5"/>
    <n v="1"/>
    <n v="2025"/>
    <x v="0"/>
  </r>
  <r>
    <s v="CLM-10210"/>
    <d v="2021-07-05T00:00:00"/>
    <d v="2021-08-03T00:00:00"/>
    <d v="2022-04-20T00:00:00"/>
    <n v="47872.95"/>
    <x v="1"/>
    <n v="9"/>
    <n v="1"/>
    <n v="2022"/>
    <x v="0"/>
  </r>
  <r>
    <s v="CLM-10179"/>
    <d v="2022-05-13T00:00:00"/>
    <d v="2022-07-28T00:00:00"/>
    <d v="2023-02-02T00:00:00"/>
    <n v="53382.98"/>
    <x v="2"/>
    <n v="9"/>
    <n v="1"/>
    <n v="2023"/>
    <x v="0"/>
  </r>
  <r>
    <s v="CLM-10465"/>
    <d v="2021-08-14T00:00:00"/>
    <d v="2021-11-02T00:00:00"/>
    <d v="2023-01-23T00:00:00"/>
    <n v="52995.25"/>
    <x v="1"/>
    <n v="17"/>
    <n v="2"/>
    <n v="2023"/>
    <x v="2"/>
  </r>
  <r>
    <s v="CLM-10515"/>
    <d v="2023-11-02T00:00:00"/>
    <d v="2023-12-02T00:00:00"/>
    <d v="2024-02-01T00:00:00"/>
    <n v="-4230.82"/>
    <x v="0"/>
    <n v="3"/>
    <n v="1"/>
    <n v="2024"/>
    <x v="0"/>
  </r>
  <r>
    <s v="CLM-10124"/>
    <d v="2023-12-09T00:00:00"/>
    <d v="2024-01-19T00:00:00"/>
    <d v="2024-12-24T00:00:00"/>
    <n v="25198.1"/>
    <x v="0"/>
    <n v="12"/>
    <n v="1"/>
    <n v="2024"/>
    <x v="0"/>
  </r>
  <r>
    <s v="CLM-10544"/>
    <d v="2024-07-25T00:00:00"/>
    <d v="2024-09-14T00:00:00"/>
    <d v="2025-04-08T00:00:00"/>
    <n v="-19266.72"/>
    <x v="4"/>
    <n v="9"/>
    <n v="1"/>
    <n v="2025"/>
    <x v="0"/>
  </r>
  <r>
    <s v="CLM-10308"/>
    <d v="2023-06-13T00:00:00"/>
    <d v="2023-08-18T00:00:00"/>
    <d v="2024-04-22T00:00:00"/>
    <n v="19723.400000000001"/>
    <x v="0"/>
    <n v="10"/>
    <n v="1"/>
    <n v="2024"/>
    <x v="0"/>
  </r>
  <r>
    <s v="CLM-10078"/>
    <d v="2023-04-06T00:00:00"/>
    <d v="2023-05-26T00:00:00"/>
    <d v="2024-10-31T00:00:00"/>
    <n v="54045.89"/>
    <x v="0"/>
    <n v="18"/>
    <n v="2"/>
    <n v="2024"/>
    <x v="0"/>
  </r>
  <r>
    <s v="CLM-10391"/>
    <d v="2024-09-06T00:00:00"/>
    <d v="2024-09-10T00:00:00"/>
    <d v="2025-04-02T00:00:00"/>
    <n v="65165.32"/>
    <x v="4"/>
    <n v="7"/>
    <n v="1"/>
    <n v="2025"/>
    <x v="0"/>
  </r>
  <r>
    <s v="CLM-10102"/>
    <d v="2022-07-01T00:00:00"/>
    <d v="2022-07-05T00:00:00"/>
    <d v="2022-09-14T00:00:00"/>
    <n v="-10464.799999999999"/>
    <x v="2"/>
    <n v="2"/>
    <n v="1"/>
    <n v="2022"/>
    <x v="1"/>
  </r>
  <r>
    <s v="CLM-10549"/>
    <d v="2020-05-22T00:00:00"/>
    <d v="2020-06-14T00:00:00"/>
    <d v="2020-10-19T00:00:00"/>
    <n v="67431.839999999997"/>
    <x v="3"/>
    <n v="5"/>
    <n v="1"/>
    <n v="2020"/>
    <x v="1"/>
  </r>
  <r>
    <s v="CLM-10708"/>
    <d v="2021-11-16T00:00:00"/>
    <d v="2021-12-23T00:00:00"/>
    <d v="2022-05-21T00:00:00"/>
    <n v="67379.22"/>
    <x v="1"/>
    <n v="6"/>
    <n v="1"/>
    <n v="2022"/>
    <x v="0"/>
  </r>
  <r>
    <s v="CLM-10332"/>
    <d v="2023-04-25T00:00:00"/>
    <d v="2023-06-10T00:00:00"/>
    <d v="2024-12-16T00:00:00"/>
    <n v="83276.14"/>
    <x v="0"/>
    <n v="20"/>
    <n v="2"/>
    <n v="2024"/>
    <x v="0"/>
  </r>
  <r>
    <s v="CLM-10617"/>
    <d v="2020-07-28T00:00:00"/>
    <d v="2020-08-07T00:00:00"/>
    <d v="2021-09-10T00:00:00"/>
    <n v="42682.78"/>
    <x v="3"/>
    <n v="14"/>
    <n v="2"/>
    <n v="2021"/>
    <x v="0"/>
  </r>
  <r>
    <s v="CLM-10419"/>
    <d v="2024-09-26T00:00:00"/>
    <d v="2024-12-07T00:00:00"/>
    <d v="2025-05-22T00:00:00"/>
    <n v="14480.53"/>
    <x v="4"/>
    <n v="8"/>
    <n v="1"/>
    <n v="2025"/>
    <x v="0"/>
  </r>
  <r>
    <s v="CLM-10217"/>
    <d v="2024-11-24T00:00:00"/>
    <d v="2024-12-10T00:00:00"/>
    <d v="2025-05-23T00:00:00"/>
    <n v="36873.82"/>
    <x v="4"/>
    <n v="6"/>
    <n v="1"/>
    <n v="2025"/>
    <x v="0"/>
  </r>
  <r>
    <s v="CLM-10682"/>
    <d v="2022-11-29T00:00:00"/>
    <d v="2023-01-04T00:00:00"/>
    <d v="2024-02-25T00:00:00"/>
    <n v="81151.53"/>
    <x v="2"/>
    <n v="15"/>
    <n v="2"/>
    <n v="2024"/>
    <x v="2"/>
  </r>
  <r>
    <s v="CLM-10795"/>
    <d v="2020-01-24T00:00:00"/>
    <d v="2020-03-06T00:00:00"/>
    <d v="2020-08-09T00:00:00"/>
    <n v="40305.29"/>
    <x v="3"/>
    <n v="7"/>
    <n v="1"/>
    <n v="2020"/>
    <x v="1"/>
  </r>
  <r>
    <s v="CLM-10214"/>
    <d v="2020-08-21T00:00:00"/>
    <d v="2020-10-01T00:00:00"/>
    <d v="2021-01-26T00:00:00"/>
    <n v="74649.41"/>
    <x v="3"/>
    <n v="5"/>
    <n v="1"/>
    <n v="2021"/>
    <x v="0"/>
  </r>
  <r>
    <s v="CLM-10056"/>
    <d v="2020-11-30T00:00:00"/>
    <d v="2021-01-08T00:00:00"/>
    <d v="2021-08-16T00:00:00"/>
    <n v="44137.54"/>
    <x v="3"/>
    <n v="9"/>
    <n v="1"/>
    <n v="2021"/>
    <x v="0"/>
  </r>
  <r>
    <s v="CLM-10489"/>
    <d v="2021-06-29T00:00:00"/>
    <d v="2021-07-21T00:00:00"/>
    <d v="2023-01-05T00:00:00"/>
    <n v="45111.42"/>
    <x v="1"/>
    <n v="19"/>
    <n v="2"/>
    <n v="2023"/>
    <x v="2"/>
  </r>
  <r>
    <s v="CLM-10276"/>
    <d v="2022-06-03T00:00:00"/>
    <d v="2022-08-28T00:00:00"/>
    <d v="2023-03-12T00:00:00"/>
    <n v="54571.57"/>
    <x v="2"/>
    <n v="9"/>
    <n v="1"/>
    <n v="2023"/>
    <x v="0"/>
  </r>
  <r>
    <s v="CLM-10248"/>
    <d v="2023-10-17T00:00:00"/>
    <d v="2023-12-17T00:00:00"/>
    <d v="2024-11-05T00:00:00"/>
    <n v="-17119.03"/>
    <x v="0"/>
    <n v="13"/>
    <n v="2"/>
    <n v="2024"/>
    <x v="0"/>
  </r>
  <r>
    <s v="CLM-10120"/>
    <d v="2024-05-22T00:00:00"/>
    <d v="2024-05-31T00:00:00"/>
    <d v="2024-07-24T00:00:00"/>
    <n v="78289.72"/>
    <x v="4"/>
    <n v="2"/>
    <n v="1"/>
    <n v="202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47713-DB3C-49CC-A8DD-A6B2FCBCDADF}" name="PivotTable7" cacheId="4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Accident Years" colHeaderCaption="Development Years">
  <location ref="A6:F13" firstHeaderRow="1" firstDataRow="2" firstDataCol="1"/>
  <pivotFields count="10">
    <pivotField showAll="0"/>
    <pivotField numFmtId="14" showAll="0"/>
    <pivotField showAll="0"/>
    <pivotField numFmtId="14" showAll="0"/>
    <pivotField dataField="1"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Table" fld="4" baseField="0" baseItem="0"/>
  </dataFields>
  <formats count="1">
    <format dxfId="0">
      <pivotArea type="topRight" dataOnly="0" labelOnly="1" outline="0" offset="D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D2A4-3EB5-466F-AB3F-F56879618CF4}">
  <dimension ref="A1:A213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7490-DB8E-414E-8544-012DE6CC681B}">
  <dimension ref="A1:J2136"/>
  <sheetViews>
    <sheetView tabSelected="1" workbookViewId="0">
      <selection activeCell="A7" sqref="A7"/>
    </sheetView>
  </sheetViews>
  <sheetFormatPr defaultRowHeight="15" x14ac:dyDescent="0.25"/>
  <cols>
    <col min="1" max="1" width="12.28515625" customWidth="1"/>
    <col min="2" max="2" width="12.5703125" bestFit="1" customWidth="1"/>
    <col min="3" max="3" width="10.7109375" bestFit="1" customWidth="1"/>
    <col min="4" max="4" width="15.7109375" bestFit="1" customWidth="1"/>
    <col min="5" max="5" width="18.7109375" customWidth="1"/>
    <col min="6" max="6" width="13.28515625" customWidth="1"/>
    <col min="7" max="7" width="16" bestFit="1" customWidth="1"/>
    <col min="8" max="8" width="20.28515625" bestFit="1" customWidth="1"/>
    <col min="9" max="9" width="5.28515625" customWidth="1"/>
    <col min="10" max="10" width="98.85546875" bestFit="1" customWidth="1"/>
  </cols>
  <sheetData>
    <row r="1" spans="1:10" ht="18.75" x14ac:dyDescent="0.3">
      <c r="A1" t="s">
        <v>2136</v>
      </c>
      <c r="B1" t="s">
        <v>2137</v>
      </c>
      <c r="C1" t="s">
        <v>2138</v>
      </c>
      <c r="D1" t="s">
        <v>2139</v>
      </c>
      <c r="E1" t="s">
        <v>2140</v>
      </c>
      <c r="F1" s="2" t="s">
        <v>2923</v>
      </c>
      <c r="G1" s="2" t="s">
        <v>2924</v>
      </c>
      <c r="H1" s="2" t="s">
        <v>2925</v>
      </c>
      <c r="J1" s="7" t="s">
        <v>2942</v>
      </c>
    </row>
    <row r="2" spans="1:10" x14ac:dyDescent="0.25">
      <c r="A2" t="s">
        <v>2141</v>
      </c>
      <c r="B2" s="1">
        <v>45065</v>
      </c>
      <c r="C2" s="1">
        <v>45117</v>
      </c>
      <c r="D2" s="1">
        <v>45561</v>
      </c>
      <c r="E2">
        <v>48356.6</v>
      </c>
      <c r="F2">
        <f>YEAR(B2)</f>
        <v>2023</v>
      </c>
      <c r="G2">
        <f>YEAR(D2)</f>
        <v>2024</v>
      </c>
      <c r="H2">
        <f t="shared" ref="H2:H65" si="0">MAX(0,G2-F2)</f>
        <v>1</v>
      </c>
    </row>
    <row r="3" spans="1:10" x14ac:dyDescent="0.25">
      <c r="A3" t="s">
        <v>2142</v>
      </c>
      <c r="B3" s="1">
        <v>44306</v>
      </c>
      <c r="C3" s="1">
        <v>44315</v>
      </c>
      <c r="D3" s="1">
        <v>44482</v>
      </c>
      <c r="E3">
        <v>63551.48</v>
      </c>
      <c r="F3">
        <f t="shared" ref="F3:F66" si="1">YEAR(B3)</f>
        <v>2021</v>
      </c>
      <c r="G3">
        <f t="shared" ref="G3:G66" si="2">YEAR(D3)</f>
        <v>2021</v>
      </c>
      <c r="H3">
        <f t="shared" si="0"/>
        <v>0</v>
      </c>
      <c r="J3" s="20" t="s">
        <v>2958</v>
      </c>
    </row>
    <row r="4" spans="1:10" x14ac:dyDescent="0.25">
      <c r="A4" t="s">
        <v>2143</v>
      </c>
      <c r="B4" s="1">
        <v>44577</v>
      </c>
      <c r="C4" s="1">
        <v>44587</v>
      </c>
      <c r="D4" s="1">
        <v>44828</v>
      </c>
      <c r="E4">
        <v>65621.89</v>
      </c>
      <c r="F4">
        <f t="shared" si="1"/>
        <v>2022</v>
      </c>
      <c r="G4">
        <f t="shared" si="2"/>
        <v>2022</v>
      </c>
      <c r="H4">
        <f t="shared" si="0"/>
        <v>0</v>
      </c>
      <c r="J4" s="20" t="s">
        <v>2959</v>
      </c>
    </row>
    <row r="5" spans="1:10" x14ac:dyDescent="0.25">
      <c r="A5" t="s">
        <v>2144</v>
      </c>
      <c r="B5" s="1">
        <v>43885</v>
      </c>
      <c r="C5" s="1">
        <v>43945</v>
      </c>
      <c r="D5" s="1">
        <v>44081</v>
      </c>
      <c r="E5">
        <v>81999.100000000006</v>
      </c>
      <c r="F5">
        <f t="shared" si="1"/>
        <v>2020</v>
      </c>
      <c r="G5">
        <f t="shared" si="2"/>
        <v>2020</v>
      </c>
      <c r="H5">
        <f t="shared" si="0"/>
        <v>0</v>
      </c>
      <c r="J5" s="20" t="s">
        <v>2960</v>
      </c>
    </row>
    <row r="6" spans="1:10" x14ac:dyDescent="0.25">
      <c r="A6" t="s">
        <v>2145</v>
      </c>
      <c r="B6" s="1">
        <v>44422</v>
      </c>
      <c r="C6" s="1">
        <v>44511</v>
      </c>
      <c r="D6" s="1">
        <v>44791</v>
      </c>
      <c r="E6">
        <v>82277.33</v>
      </c>
      <c r="F6">
        <f t="shared" si="1"/>
        <v>2021</v>
      </c>
      <c r="G6">
        <f t="shared" si="2"/>
        <v>2022</v>
      </c>
      <c r="H6">
        <f t="shared" si="0"/>
        <v>1</v>
      </c>
      <c r="J6" s="20" t="s">
        <v>2961</v>
      </c>
    </row>
    <row r="7" spans="1:10" x14ac:dyDescent="0.25">
      <c r="A7" t="s">
        <v>2146</v>
      </c>
      <c r="B7" s="1">
        <v>43892</v>
      </c>
      <c r="C7" s="1">
        <v>43981</v>
      </c>
      <c r="D7" s="1">
        <v>44501</v>
      </c>
      <c r="E7">
        <v>82838</v>
      </c>
      <c r="F7">
        <f t="shared" si="1"/>
        <v>2020</v>
      </c>
      <c r="G7">
        <f t="shared" si="2"/>
        <v>2021</v>
      </c>
      <c r="H7">
        <f t="shared" si="0"/>
        <v>1</v>
      </c>
      <c r="J7" s="20" t="s">
        <v>2943</v>
      </c>
    </row>
    <row r="8" spans="1:10" x14ac:dyDescent="0.25">
      <c r="A8" t="s">
        <v>2147</v>
      </c>
      <c r="B8" s="1">
        <v>44235</v>
      </c>
      <c r="C8" s="1">
        <v>44258</v>
      </c>
      <c r="D8" s="1">
        <v>44409</v>
      </c>
      <c r="E8">
        <v>24434.41</v>
      </c>
      <c r="F8">
        <f t="shared" si="1"/>
        <v>2021</v>
      </c>
      <c r="G8">
        <f t="shared" si="2"/>
        <v>2021</v>
      </c>
      <c r="H8">
        <f t="shared" si="0"/>
        <v>0</v>
      </c>
    </row>
    <row r="9" spans="1:10" x14ac:dyDescent="0.25">
      <c r="A9" t="s">
        <v>2148</v>
      </c>
      <c r="B9" s="1">
        <v>44276</v>
      </c>
      <c r="C9" s="1">
        <v>44286</v>
      </c>
      <c r="D9" s="1">
        <v>44327</v>
      </c>
      <c r="E9">
        <v>19892.93</v>
      </c>
      <c r="F9">
        <f t="shared" si="1"/>
        <v>2021</v>
      </c>
      <c r="G9">
        <f t="shared" si="2"/>
        <v>2021</v>
      </c>
      <c r="H9">
        <f t="shared" si="0"/>
        <v>0</v>
      </c>
      <c r="J9" s="20" t="s">
        <v>2962</v>
      </c>
    </row>
    <row r="10" spans="1:10" x14ac:dyDescent="0.25">
      <c r="A10" t="s">
        <v>2149</v>
      </c>
      <c r="B10" s="1">
        <v>44566</v>
      </c>
      <c r="D10" s="1">
        <v>44917</v>
      </c>
      <c r="E10">
        <v>70182.14</v>
      </c>
      <c r="F10">
        <f t="shared" si="1"/>
        <v>2022</v>
      </c>
      <c r="G10">
        <f t="shared" si="2"/>
        <v>2022</v>
      </c>
      <c r="H10">
        <f t="shared" si="0"/>
        <v>0</v>
      </c>
      <c r="J10" s="20" t="s">
        <v>2963</v>
      </c>
    </row>
    <row r="11" spans="1:10" x14ac:dyDescent="0.25">
      <c r="A11" t="s">
        <v>2150</v>
      </c>
      <c r="B11" s="1">
        <v>44997</v>
      </c>
      <c r="C11" s="1">
        <v>45012</v>
      </c>
      <c r="D11" s="1">
        <v>45294</v>
      </c>
      <c r="E11">
        <v>61067.93</v>
      </c>
      <c r="F11">
        <f t="shared" si="1"/>
        <v>2023</v>
      </c>
      <c r="G11">
        <f t="shared" si="2"/>
        <v>2024</v>
      </c>
      <c r="H11">
        <f t="shared" si="0"/>
        <v>1</v>
      </c>
    </row>
    <row r="12" spans="1:10" x14ac:dyDescent="0.25">
      <c r="A12" t="s">
        <v>2151</v>
      </c>
      <c r="B12" s="1">
        <v>44231</v>
      </c>
      <c r="C12" s="1">
        <v>44263</v>
      </c>
      <c r="D12" s="1">
        <v>44339</v>
      </c>
      <c r="E12">
        <v>-2382.52</v>
      </c>
      <c r="F12">
        <f t="shared" si="1"/>
        <v>2021</v>
      </c>
      <c r="G12">
        <f t="shared" si="2"/>
        <v>2021</v>
      </c>
      <c r="H12">
        <f t="shared" si="0"/>
        <v>0</v>
      </c>
      <c r="J12" s="20" t="s">
        <v>2964</v>
      </c>
    </row>
    <row r="13" spans="1:10" x14ac:dyDescent="0.25">
      <c r="A13" t="s">
        <v>2152</v>
      </c>
      <c r="B13" s="1">
        <v>44144</v>
      </c>
      <c r="C13" s="1">
        <v>44157</v>
      </c>
      <c r="D13" s="1">
        <v>44289</v>
      </c>
      <c r="E13">
        <v>24528.25</v>
      </c>
      <c r="F13">
        <f t="shared" si="1"/>
        <v>2020</v>
      </c>
      <c r="G13">
        <f t="shared" si="2"/>
        <v>2021</v>
      </c>
      <c r="H13">
        <f t="shared" si="0"/>
        <v>1</v>
      </c>
      <c r="J13" s="20"/>
    </row>
    <row r="14" spans="1:10" x14ac:dyDescent="0.25">
      <c r="A14" t="s">
        <v>2153</v>
      </c>
      <c r="B14" s="1">
        <v>44444</v>
      </c>
      <c r="C14" s="1">
        <v>44449</v>
      </c>
      <c r="D14" s="1">
        <v>44480</v>
      </c>
      <c r="E14">
        <v>66178.009999999995</v>
      </c>
      <c r="F14">
        <f t="shared" si="1"/>
        <v>2021</v>
      </c>
      <c r="G14">
        <f t="shared" si="2"/>
        <v>2021</v>
      </c>
      <c r="H14">
        <f t="shared" si="0"/>
        <v>0</v>
      </c>
      <c r="J14" s="20" t="s">
        <v>2965</v>
      </c>
    </row>
    <row r="15" spans="1:10" x14ac:dyDescent="0.25">
      <c r="A15" t="s">
        <v>2154</v>
      </c>
      <c r="B15" s="1">
        <v>44916</v>
      </c>
      <c r="C15" s="1">
        <v>45003</v>
      </c>
      <c r="D15" s="1">
        <v>45265</v>
      </c>
      <c r="E15">
        <v>25302.26</v>
      </c>
      <c r="F15">
        <f t="shared" si="1"/>
        <v>2022</v>
      </c>
      <c r="G15">
        <f t="shared" si="2"/>
        <v>2023</v>
      </c>
      <c r="H15">
        <f t="shared" si="0"/>
        <v>1</v>
      </c>
      <c r="J15" s="20" t="s">
        <v>2944</v>
      </c>
    </row>
    <row r="16" spans="1:10" x14ac:dyDescent="0.25">
      <c r="A16" t="s">
        <v>2155</v>
      </c>
      <c r="B16" s="1">
        <v>45323</v>
      </c>
      <c r="C16" s="1">
        <v>45345</v>
      </c>
      <c r="D16" s="1">
        <v>45649</v>
      </c>
      <c r="E16">
        <v>47450.68</v>
      </c>
      <c r="F16">
        <f t="shared" si="1"/>
        <v>2024</v>
      </c>
      <c r="G16">
        <f t="shared" si="2"/>
        <v>2024</v>
      </c>
      <c r="H16">
        <f t="shared" si="0"/>
        <v>0</v>
      </c>
      <c r="J16" s="20" t="s">
        <v>2966</v>
      </c>
    </row>
    <row r="17" spans="1:10" x14ac:dyDescent="0.25">
      <c r="A17" t="s">
        <v>2156</v>
      </c>
      <c r="B17" s="1">
        <v>44970</v>
      </c>
      <c r="C17" s="1">
        <v>45031</v>
      </c>
      <c r="D17" s="1">
        <v>45374</v>
      </c>
      <c r="E17">
        <v>60844.34</v>
      </c>
      <c r="F17">
        <f t="shared" si="1"/>
        <v>2023</v>
      </c>
      <c r="G17">
        <f t="shared" si="2"/>
        <v>2024</v>
      </c>
      <c r="H17">
        <f t="shared" si="0"/>
        <v>1</v>
      </c>
      <c r="J17" s="20" t="s">
        <v>2951</v>
      </c>
    </row>
    <row r="18" spans="1:10" x14ac:dyDescent="0.25">
      <c r="A18" t="s">
        <v>2151</v>
      </c>
      <c r="B18" s="1">
        <v>44231</v>
      </c>
      <c r="C18" s="1">
        <v>44263</v>
      </c>
      <c r="D18" s="1">
        <v>44283</v>
      </c>
      <c r="E18">
        <v>21454.91</v>
      </c>
      <c r="F18">
        <f t="shared" si="1"/>
        <v>2021</v>
      </c>
      <c r="G18">
        <f t="shared" si="2"/>
        <v>2021</v>
      </c>
      <c r="H18">
        <f t="shared" si="0"/>
        <v>0</v>
      </c>
    </row>
    <row r="19" spans="1:10" x14ac:dyDescent="0.25">
      <c r="A19" t="s">
        <v>2157</v>
      </c>
      <c r="B19" s="1">
        <v>43906</v>
      </c>
      <c r="C19" s="1">
        <v>43907</v>
      </c>
      <c r="D19" s="1">
        <v>43994</v>
      </c>
      <c r="E19">
        <v>40494.639999999999</v>
      </c>
      <c r="F19">
        <f t="shared" si="1"/>
        <v>2020</v>
      </c>
      <c r="G19">
        <f t="shared" si="2"/>
        <v>2020</v>
      </c>
      <c r="H19">
        <f t="shared" si="0"/>
        <v>0</v>
      </c>
    </row>
    <row r="20" spans="1:10" x14ac:dyDescent="0.25">
      <c r="A20" t="s">
        <v>2158</v>
      </c>
      <c r="B20" s="1">
        <v>44032</v>
      </c>
      <c r="C20" s="1">
        <v>44060</v>
      </c>
      <c r="D20" s="1">
        <v>44302</v>
      </c>
      <c r="E20">
        <v>45125.14</v>
      </c>
      <c r="F20">
        <f t="shared" si="1"/>
        <v>2020</v>
      </c>
      <c r="G20">
        <f t="shared" si="2"/>
        <v>2021</v>
      </c>
      <c r="H20">
        <f t="shared" si="0"/>
        <v>1</v>
      </c>
    </row>
    <row r="21" spans="1:10" x14ac:dyDescent="0.25">
      <c r="A21" t="s">
        <v>2159</v>
      </c>
      <c r="B21" s="1">
        <v>43851</v>
      </c>
      <c r="C21" s="1">
        <v>43901</v>
      </c>
      <c r="D21" s="1">
        <v>44300</v>
      </c>
      <c r="E21">
        <v>29866.65</v>
      </c>
      <c r="F21">
        <f t="shared" si="1"/>
        <v>2020</v>
      </c>
      <c r="G21">
        <f t="shared" si="2"/>
        <v>2021</v>
      </c>
      <c r="H21">
        <f t="shared" si="0"/>
        <v>1</v>
      </c>
    </row>
    <row r="22" spans="1:10" x14ac:dyDescent="0.25">
      <c r="A22" t="s">
        <v>2160</v>
      </c>
      <c r="B22" s="1">
        <v>44984</v>
      </c>
      <c r="C22" s="1">
        <v>45053</v>
      </c>
      <c r="D22" s="1">
        <v>45379</v>
      </c>
      <c r="E22">
        <v>78378.48</v>
      </c>
      <c r="F22">
        <f t="shared" si="1"/>
        <v>2023</v>
      </c>
      <c r="G22">
        <f t="shared" si="2"/>
        <v>2024</v>
      </c>
      <c r="H22">
        <f t="shared" si="0"/>
        <v>1</v>
      </c>
    </row>
    <row r="23" spans="1:10" x14ac:dyDescent="0.25">
      <c r="A23" t="s">
        <v>2161</v>
      </c>
      <c r="B23" s="1">
        <v>44934</v>
      </c>
      <c r="C23" s="1">
        <v>45007</v>
      </c>
      <c r="D23" s="1">
        <v>45212</v>
      </c>
      <c r="E23">
        <v>13538.44</v>
      </c>
      <c r="F23">
        <f t="shared" si="1"/>
        <v>2023</v>
      </c>
      <c r="G23">
        <f t="shared" si="2"/>
        <v>2023</v>
      </c>
      <c r="H23">
        <f t="shared" si="0"/>
        <v>0</v>
      </c>
    </row>
    <row r="24" spans="1:10" x14ac:dyDescent="0.25">
      <c r="A24" t="s">
        <v>2162</v>
      </c>
      <c r="B24" s="1">
        <v>44008</v>
      </c>
      <c r="C24" s="1">
        <v>44063</v>
      </c>
      <c r="D24" s="1">
        <v>44399</v>
      </c>
      <c r="E24">
        <v>54307.23</v>
      </c>
      <c r="F24">
        <f t="shared" si="1"/>
        <v>2020</v>
      </c>
      <c r="G24">
        <f t="shared" si="2"/>
        <v>2021</v>
      </c>
      <c r="H24">
        <f t="shared" si="0"/>
        <v>1</v>
      </c>
    </row>
    <row r="25" spans="1:10" x14ac:dyDescent="0.25">
      <c r="A25" t="s">
        <v>2163</v>
      </c>
      <c r="B25" s="1">
        <v>45639</v>
      </c>
      <c r="D25" s="1">
        <v>45756</v>
      </c>
      <c r="E25">
        <v>81046.11</v>
      </c>
      <c r="F25">
        <f t="shared" si="1"/>
        <v>2024</v>
      </c>
      <c r="G25">
        <f t="shared" si="2"/>
        <v>2025</v>
      </c>
      <c r="H25">
        <f t="shared" si="0"/>
        <v>1</v>
      </c>
    </row>
    <row r="26" spans="1:10" x14ac:dyDescent="0.25">
      <c r="A26" t="s">
        <v>2164</v>
      </c>
      <c r="B26" s="1">
        <v>45006</v>
      </c>
      <c r="C26" s="1">
        <v>45008</v>
      </c>
      <c r="D26" s="1">
        <v>45733</v>
      </c>
      <c r="E26">
        <v>57115.48</v>
      </c>
      <c r="F26">
        <f t="shared" si="1"/>
        <v>2023</v>
      </c>
      <c r="G26">
        <f t="shared" si="2"/>
        <v>2025</v>
      </c>
      <c r="H26">
        <f t="shared" si="0"/>
        <v>2</v>
      </c>
    </row>
    <row r="27" spans="1:10" x14ac:dyDescent="0.25">
      <c r="A27" t="s">
        <v>2165</v>
      </c>
      <c r="B27" s="1">
        <v>44924</v>
      </c>
      <c r="C27" s="1">
        <v>44956</v>
      </c>
      <c r="D27" s="1">
        <v>45019</v>
      </c>
      <c r="E27">
        <v>40189.53</v>
      </c>
      <c r="F27">
        <f t="shared" si="1"/>
        <v>2022</v>
      </c>
      <c r="G27">
        <f t="shared" si="2"/>
        <v>2023</v>
      </c>
      <c r="H27">
        <f t="shared" si="0"/>
        <v>1</v>
      </c>
    </row>
    <row r="28" spans="1:10" x14ac:dyDescent="0.25">
      <c r="A28" t="s">
        <v>2166</v>
      </c>
      <c r="B28" s="1">
        <v>44236</v>
      </c>
      <c r="C28" s="1">
        <v>44292</v>
      </c>
      <c r="D28" s="1">
        <v>44367</v>
      </c>
      <c r="E28">
        <v>73480.240000000005</v>
      </c>
      <c r="F28">
        <f t="shared" si="1"/>
        <v>2021</v>
      </c>
      <c r="G28">
        <f t="shared" si="2"/>
        <v>2021</v>
      </c>
      <c r="H28">
        <f t="shared" si="0"/>
        <v>0</v>
      </c>
    </row>
    <row r="29" spans="1:10" x14ac:dyDescent="0.25">
      <c r="A29" t="s">
        <v>2167</v>
      </c>
      <c r="B29" s="1">
        <v>45050</v>
      </c>
      <c r="C29" s="1">
        <v>45106</v>
      </c>
      <c r="D29" s="1">
        <v>45228</v>
      </c>
      <c r="E29">
        <v>76148.36</v>
      </c>
      <c r="F29">
        <f t="shared" si="1"/>
        <v>2023</v>
      </c>
      <c r="G29">
        <f t="shared" si="2"/>
        <v>2023</v>
      </c>
      <c r="H29">
        <f t="shared" si="0"/>
        <v>0</v>
      </c>
    </row>
    <row r="30" spans="1:10" x14ac:dyDescent="0.25">
      <c r="A30" t="s">
        <v>2168</v>
      </c>
      <c r="B30" s="1">
        <v>45525</v>
      </c>
      <c r="C30" s="1">
        <v>45585</v>
      </c>
      <c r="D30" s="1">
        <v>45647</v>
      </c>
      <c r="E30">
        <v>57488.29</v>
      </c>
      <c r="F30">
        <f t="shared" si="1"/>
        <v>2024</v>
      </c>
      <c r="G30">
        <f t="shared" si="2"/>
        <v>2024</v>
      </c>
      <c r="H30">
        <f t="shared" si="0"/>
        <v>0</v>
      </c>
    </row>
    <row r="31" spans="1:10" x14ac:dyDescent="0.25">
      <c r="A31" t="s">
        <v>2169</v>
      </c>
      <c r="B31" s="1">
        <v>44059</v>
      </c>
      <c r="C31" s="1">
        <v>44144</v>
      </c>
      <c r="D31" s="1">
        <v>44329</v>
      </c>
      <c r="E31">
        <v>75802.720000000001</v>
      </c>
      <c r="F31">
        <f t="shared" si="1"/>
        <v>2020</v>
      </c>
      <c r="G31">
        <f t="shared" si="2"/>
        <v>2021</v>
      </c>
      <c r="H31">
        <f t="shared" si="0"/>
        <v>1</v>
      </c>
    </row>
    <row r="32" spans="1:10" x14ac:dyDescent="0.25">
      <c r="A32" t="s">
        <v>2170</v>
      </c>
      <c r="B32" s="1">
        <v>43970</v>
      </c>
      <c r="C32" s="1">
        <v>43986</v>
      </c>
      <c r="D32" s="1">
        <v>44028</v>
      </c>
      <c r="E32">
        <v>-22824.31</v>
      </c>
      <c r="F32">
        <f t="shared" si="1"/>
        <v>2020</v>
      </c>
      <c r="G32">
        <f t="shared" si="2"/>
        <v>2020</v>
      </c>
      <c r="H32">
        <f t="shared" si="0"/>
        <v>0</v>
      </c>
    </row>
    <row r="33" spans="1:8" x14ac:dyDescent="0.25">
      <c r="A33" t="s">
        <v>2171</v>
      </c>
      <c r="B33" s="1">
        <v>43997</v>
      </c>
      <c r="C33" s="1">
        <v>44082</v>
      </c>
      <c r="D33" s="1">
        <v>44402</v>
      </c>
      <c r="E33">
        <v>72909.95</v>
      </c>
      <c r="F33">
        <f t="shared" si="1"/>
        <v>2020</v>
      </c>
      <c r="G33">
        <f t="shared" si="2"/>
        <v>2021</v>
      </c>
      <c r="H33">
        <f t="shared" si="0"/>
        <v>1</v>
      </c>
    </row>
    <row r="34" spans="1:8" x14ac:dyDescent="0.25">
      <c r="A34" t="s">
        <v>2172</v>
      </c>
      <c r="B34" s="1">
        <v>44954</v>
      </c>
      <c r="C34" s="1">
        <v>45017</v>
      </c>
      <c r="D34" s="1">
        <v>45047</v>
      </c>
      <c r="E34">
        <v>81217.47</v>
      </c>
      <c r="F34">
        <f t="shared" si="1"/>
        <v>2023</v>
      </c>
      <c r="G34">
        <f t="shared" si="2"/>
        <v>2023</v>
      </c>
      <c r="H34">
        <f t="shared" si="0"/>
        <v>0</v>
      </c>
    </row>
    <row r="35" spans="1:8" x14ac:dyDescent="0.25">
      <c r="A35" t="s">
        <v>2173</v>
      </c>
      <c r="B35" s="1">
        <v>43962</v>
      </c>
      <c r="C35" s="1">
        <v>44035</v>
      </c>
      <c r="D35" s="1">
        <v>44063</v>
      </c>
      <c r="E35">
        <v>-5485.62</v>
      </c>
      <c r="F35">
        <f t="shared" si="1"/>
        <v>2020</v>
      </c>
      <c r="G35">
        <f t="shared" si="2"/>
        <v>2020</v>
      </c>
      <c r="H35">
        <f t="shared" si="0"/>
        <v>0</v>
      </c>
    </row>
    <row r="36" spans="1:8" x14ac:dyDescent="0.25">
      <c r="A36" t="s">
        <v>2174</v>
      </c>
      <c r="B36" s="1">
        <v>44367</v>
      </c>
      <c r="C36" s="1">
        <v>44372</v>
      </c>
      <c r="D36" s="1">
        <v>44542</v>
      </c>
      <c r="E36">
        <v>49825.67</v>
      </c>
      <c r="F36">
        <f t="shared" si="1"/>
        <v>2021</v>
      </c>
      <c r="G36">
        <f t="shared" si="2"/>
        <v>2021</v>
      </c>
      <c r="H36">
        <f t="shared" si="0"/>
        <v>0</v>
      </c>
    </row>
    <row r="37" spans="1:8" x14ac:dyDescent="0.25">
      <c r="A37" t="s">
        <v>2175</v>
      </c>
      <c r="B37" s="1">
        <v>43913</v>
      </c>
      <c r="C37" s="1">
        <v>43927</v>
      </c>
      <c r="D37" s="1">
        <v>44673</v>
      </c>
      <c r="E37">
        <v>-4884.83</v>
      </c>
      <c r="F37">
        <f t="shared" si="1"/>
        <v>2020</v>
      </c>
      <c r="G37">
        <f t="shared" si="2"/>
        <v>2022</v>
      </c>
      <c r="H37">
        <f t="shared" si="0"/>
        <v>2</v>
      </c>
    </row>
    <row r="38" spans="1:8" x14ac:dyDescent="0.25">
      <c r="A38" t="s">
        <v>2176</v>
      </c>
      <c r="B38" s="1">
        <v>43864</v>
      </c>
      <c r="C38" s="1">
        <v>43914</v>
      </c>
      <c r="D38" s="1">
        <v>44047</v>
      </c>
      <c r="E38">
        <v>23356.31</v>
      </c>
      <c r="F38">
        <f t="shared" si="1"/>
        <v>2020</v>
      </c>
      <c r="G38">
        <f t="shared" si="2"/>
        <v>2020</v>
      </c>
      <c r="H38">
        <f t="shared" si="0"/>
        <v>0</v>
      </c>
    </row>
    <row r="39" spans="1:8" x14ac:dyDescent="0.25">
      <c r="A39" t="s">
        <v>2177</v>
      </c>
      <c r="B39" s="1">
        <v>44810</v>
      </c>
      <c r="C39" s="1">
        <v>44880</v>
      </c>
      <c r="D39" s="1">
        <v>45072</v>
      </c>
      <c r="E39">
        <v>49996.14</v>
      </c>
      <c r="F39">
        <f t="shared" si="1"/>
        <v>2022</v>
      </c>
      <c r="G39">
        <f t="shared" si="2"/>
        <v>2023</v>
      </c>
      <c r="H39">
        <f t="shared" si="0"/>
        <v>1</v>
      </c>
    </row>
    <row r="40" spans="1:8" x14ac:dyDescent="0.25">
      <c r="A40" t="s">
        <v>2178</v>
      </c>
      <c r="B40" s="1">
        <v>44836</v>
      </c>
      <c r="C40" s="1">
        <v>44858</v>
      </c>
      <c r="D40" s="1">
        <v>44960</v>
      </c>
      <c r="E40">
        <v>77659.929999999993</v>
      </c>
      <c r="F40">
        <f t="shared" si="1"/>
        <v>2022</v>
      </c>
      <c r="G40">
        <f t="shared" si="2"/>
        <v>2023</v>
      </c>
      <c r="H40">
        <f t="shared" si="0"/>
        <v>1</v>
      </c>
    </row>
    <row r="41" spans="1:8" x14ac:dyDescent="0.25">
      <c r="A41" t="s">
        <v>2179</v>
      </c>
      <c r="B41" s="1">
        <v>44302</v>
      </c>
      <c r="C41" s="1">
        <v>44335</v>
      </c>
      <c r="D41" s="1">
        <v>44648</v>
      </c>
      <c r="E41">
        <v>55087.02</v>
      </c>
      <c r="F41">
        <f t="shared" si="1"/>
        <v>2021</v>
      </c>
      <c r="G41">
        <f t="shared" si="2"/>
        <v>2022</v>
      </c>
      <c r="H41">
        <f t="shared" si="0"/>
        <v>1</v>
      </c>
    </row>
    <row r="42" spans="1:8" x14ac:dyDescent="0.25">
      <c r="A42" t="s">
        <v>2180</v>
      </c>
      <c r="B42" s="1">
        <v>44488</v>
      </c>
      <c r="C42" s="1">
        <v>44556</v>
      </c>
      <c r="D42" s="1">
        <v>44908</v>
      </c>
      <c r="E42">
        <v>71619.39</v>
      </c>
      <c r="F42">
        <f t="shared" si="1"/>
        <v>2021</v>
      </c>
      <c r="G42">
        <f t="shared" si="2"/>
        <v>2022</v>
      </c>
      <c r="H42">
        <f t="shared" si="0"/>
        <v>1</v>
      </c>
    </row>
    <row r="43" spans="1:8" x14ac:dyDescent="0.25">
      <c r="A43" t="s">
        <v>2181</v>
      </c>
      <c r="B43" s="1">
        <v>45063</v>
      </c>
      <c r="C43" s="1">
        <v>45132</v>
      </c>
      <c r="D43" s="1">
        <v>45506</v>
      </c>
      <c r="E43">
        <v>71102.820000000007</v>
      </c>
      <c r="F43">
        <f t="shared" si="1"/>
        <v>2023</v>
      </c>
      <c r="G43">
        <f t="shared" si="2"/>
        <v>2024</v>
      </c>
      <c r="H43">
        <f t="shared" si="0"/>
        <v>1</v>
      </c>
    </row>
    <row r="44" spans="1:8" x14ac:dyDescent="0.25">
      <c r="A44" t="s">
        <v>2182</v>
      </c>
      <c r="B44" s="1">
        <v>44949</v>
      </c>
      <c r="C44" s="1">
        <v>45015</v>
      </c>
      <c r="D44" s="1">
        <v>45619</v>
      </c>
      <c r="E44">
        <v>40503.089999999997</v>
      </c>
      <c r="F44">
        <f t="shared" si="1"/>
        <v>2023</v>
      </c>
      <c r="G44">
        <f t="shared" si="2"/>
        <v>2024</v>
      </c>
      <c r="H44">
        <f t="shared" si="0"/>
        <v>1</v>
      </c>
    </row>
    <row r="45" spans="1:8" x14ac:dyDescent="0.25">
      <c r="A45" t="s">
        <v>2183</v>
      </c>
      <c r="B45" s="1">
        <v>45619</v>
      </c>
      <c r="D45" s="1">
        <v>45780</v>
      </c>
      <c r="E45">
        <v>2242043.8199999998</v>
      </c>
      <c r="F45">
        <f t="shared" si="1"/>
        <v>2024</v>
      </c>
      <c r="G45">
        <f t="shared" si="2"/>
        <v>2025</v>
      </c>
      <c r="H45">
        <f t="shared" si="0"/>
        <v>1</v>
      </c>
    </row>
    <row r="46" spans="1:8" x14ac:dyDescent="0.25">
      <c r="A46" t="s">
        <v>2184</v>
      </c>
      <c r="B46" s="1">
        <v>43910</v>
      </c>
      <c r="C46" s="1">
        <v>43943</v>
      </c>
      <c r="D46" s="1">
        <v>44078</v>
      </c>
      <c r="E46">
        <v>28960.61</v>
      </c>
      <c r="F46">
        <f t="shared" si="1"/>
        <v>2020</v>
      </c>
      <c r="G46">
        <f t="shared" si="2"/>
        <v>2020</v>
      </c>
      <c r="H46">
        <f t="shared" si="0"/>
        <v>0</v>
      </c>
    </row>
    <row r="47" spans="1:8" x14ac:dyDescent="0.25">
      <c r="A47" t="s">
        <v>2185</v>
      </c>
      <c r="B47" s="1">
        <v>45421</v>
      </c>
      <c r="C47" s="1">
        <v>45459</v>
      </c>
      <c r="D47" s="1">
        <v>45577</v>
      </c>
      <c r="E47">
        <v>65509.46</v>
      </c>
      <c r="F47">
        <f t="shared" si="1"/>
        <v>2024</v>
      </c>
      <c r="G47">
        <f t="shared" si="2"/>
        <v>2024</v>
      </c>
      <c r="H47">
        <f t="shared" si="0"/>
        <v>0</v>
      </c>
    </row>
    <row r="48" spans="1:8" x14ac:dyDescent="0.25">
      <c r="A48" t="s">
        <v>2186</v>
      </c>
      <c r="B48" s="1">
        <v>45264</v>
      </c>
      <c r="C48" s="1">
        <v>45308</v>
      </c>
      <c r="D48" s="1">
        <v>45435</v>
      </c>
      <c r="E48">
        <v>28040.71</v>
      </c>
      <c r="F48">
        <f t="shared" si="1"/>
        <v>2023</v>
      </c>
      <c r="G48">
        <f t="shared" si="2"/>
        <v>2024</v>
      </c>
      <c r="H48">
        <f t="shared" si="0"/>
        <v>1</v>
      </c>
    </row>
    <row r="49" spans="1:8" x14ac:dyDescent="0.25">
      <c r="A49" t="s">
        <v>2187</v>
      </c>
      <c r="B49" s="1">
        <v>44280</v>
      </c>
      <c r="C49" s="1">
        <v>44347</v>
      </c>
      <c r="D49" s="1">
        <v>44425</v>
      </c>
      <c r="E49">
        <v>9788.73</v>
      </c>
      <c r="F49">
        <f t="shared" si="1"/>
        <v>2021</v>
      </c>
      <c r="G49">
        <f t="shared" si="2"/>
        <v>2021</v>
      </c>
      <c r="H49">
        <f t="shared" si="0"/>
        <v>0</v>
      </c>
    </row>
    <row r="50" spans="1:8" x14ac:dyDescent="0.25">
      <c r="A50" t="s">
        <v>2188</v>
      </c>
      <c r="B50" s="1">
        <v>45008</v>
      </c>
      <c r="C50" s="1">
        <v>45031</v>
      </c>
      <c r="D50" s="1">
        <v>45453</v>
      </c>
      <c r="E50">
        <v>-19151.28</v>
      </c>
      <c r="F50">
        <f t="shared" si="1"/>
        <v>2023</v>
      </c>
      <c r="G50">
        <f t="shared" si="2"/>
        <v>2024</v>
      </c>
      <c r="H50">
        <f t="shared" si="0"/>
        <v>1</v>
      </c>
    </row>
    <row r="51" spans="1:8" x14ac:dyDescent="0.25">
      <c r="A51" t="s">
        <v>2158</v>
      </c>
      <c r="B51" s="1">
        <v>44032</v>
      </c>
      <c r="C51" s="1">
        <v>44060</v>
      </c>
      <c r="D51" s="1">
        <v>44109</v>
      </c>
      <c r="E51">
        <v>54083.86</v>
      </c>
      <c r="F51">
        <f t="shared" si="1"/>
        <v>2020</v>
      </c>
      <c r="G51">
        <f t="shared" si="2"/>
        <v>2020</v>
      </c>
      <c r="H51">
        <f t="shared" si="0"/>
        <v>0</v>
      </c>
    </row>
    <row r="52" spans="1:8" x14ac:dyDescent="0.25">
      <c r="A52" t="s">
        <v>2189</v>
      </c>
      <c r="B52" s="1">
        <v>44823</v>
      </c>
      <c r="C52" s="1">
        <v>44909</v>
      </c>
      <c r="D52" s="1">
        <v>45087</v>
      </c>
      <c r="E52">
        <v>44509.599999999999</v>
      </c>
      <c r="F52">
        <f t="shared" si="1"/>
        <v>2022</v>
      </c>
      <c r="G52">
        <f t="shared" si="2"/>
        <v>2023</v>
      </c>
      <c r="H52">
        <f t="shared" si="0"/>
        <v>1</v>
      </c>
    </row>
    <row r="53" spans="1:8" x14ac:dyDescent="0.25">
      <c r="A53" t="s">
        <v>2190</v>
      </c>
      <c r="B53" s="1">
        <v>43865</v>
      </c>
      <c r="C53" s="1">
        <v>43925</v>
      </c>
      <c r="D53" s="1">
        <v>44214</v>
      </c>
      <c r="E53">
        <v>43634.29</v>
      </c>
      <c r="F53">
        <f t="shared" si="1"/>
        <v>2020</v>
      </c>
      <c r="G53">
        <f t="shared" si="2"/>
        <v>2021</v>
      </c>
      <c r="H53">
        <f t="shared" si="0"/>
        <v>1</v>
      </c>
    </row>
    <row r="54" spans="1:8" x14ac:dyDescent="0.25">
      <c r="A54" t="s">
        <v>2191</v>
      </c>
      <c r="B54" s="1">
        <v>44009</v>
      </c>
      <c r="C54" s="1">
        <v>44052</v>
      </c>
      <c r="D54" s="1">
        <v>44089</v>
      </c>
      <c r="E54">
        <v>59866.04</v>
      </c>
      <c r="F54">
        <f t="shared" si="1"/>
        <v>2020</v>
      </c>
      <c r="G54">
        <f t="shared" si="2"/>
        <v>2020</v>
      </c>
      <c r="H54">
        <f t="shared" si="0"/>
        <v>0</v>
      </c>
    </row>
    <row r="55" spans="1:8" x14ac:dyDescent="0.25">
      <c r="A55" t="s">
        <v>2188</v>
      </c>
      <c r="B55" s="1">
        <v>45008</v>
      </c>
      <c r="C55" s="1">
        <v>45031</v>
      </c>
      <c r="D55" s="1">
        <v>45113</v>
      </c>
      <c r="E55">
        <v>18728.34</v>
      </c>
      <c r="F55">
        <f t="shared" si="1"/>
        <v>2023</v>
      </c>
      <c r="G55">
        <f t="shared" si="2"/>
        <v>2023</v>
      </c>
      <c r="H55">
        <f t="shared" si="0"/>
        <v>0</v>
      </c>
    </row>
    <row r="56" spans="1:8" x14ac:dyDescent="0.25">
      <c r="A56" t="s">
        <v>2192</v>
      </c>
      <c r="B56" s="1">
        <v>43946</v>
      </c>
      <c r="C56" s="1">
        <v>44019</v>
      </c>
      <c r="D56" s="1">
        <v>44203</v>
      </c>
      <c r="E56">
        <v>27382.83</v>
      </c>
      <c r="F56">
        <f t="shared" si="1"/>
        <v>2020</v>
      </c>
      <c r="G56">
        <f t="shared" si="2"/>
        <v>2021</v>
      </c>
      <c r="H56">
        <f t="shared" si="0"/>
        <v>1</v>
      </c>
    </row>
    <row r="57" spans="1:8" x14ac:dyDescent="0.25">
      <c r="A57" t="s">
        <v>2193</v>
      </c>
      <c r="B57" s="1">
        <v>44452</v>
      </c>
      <c r="C57" s="1">
        <v>44510</v>
      </c>
      <c r="D57" s="1">
        <v>45018</v>
      </c>
      <c r="E57">
        <v>6379.1</v>
      </c>
      <c r="F57">
        <f t="shared" si="1"/>
        <v>2021</v>
      </c>
      <c r="G57">
        <f t="shared" si="2"/>
        <v>2023</v>
      </c>
      <c r="H57">
        <f t="shared" si="0"/>
        <v>2</v>
      </c>
    </row>
    <row r="58" spans="1:8" x14ac:dyDescent="0.25">
      <c r="A58" t="s">
        <v>2194</v>
      </c>
      <c r="B58" s="1">
        <v>45191</v>
      </c>
      <c r="C58" s="1">
        <v>45238</v>
      </c>
      <c r="D58" s="1">
        <v>45331</v>
      </c>
      <c r="E58">
        <v>45366.43</v>
      </c>
      <c r="F58">
        <f t="shared" si="1"/>
        <v>2023</v>
      </c>
      <c r="G58">
        <f t="shared" si="2"/>
        <v>2024</v>
      </c>
      <c r="H58">
        <f t="shared" si="0"/>
        <v>1</v>
      </c>
    </row>
    <row r="59" spans="1:8" x14ac:dyDescent="0.25">
      <c r="A59" t="s">
        <v>2195</v>
      </c>
      <c r="B59" s="1">
        <v>44263</v>
      </c>
      <c r="C59" s="1">
        <v>44336</v>
      </c>
      <c r="D59" s="1">
        <v>44476</v>
      </c>
      <c r="E59">
        <v>38391.11</v>
      </c>
      <c r="F59">
        <f t="shared" si="1"/>
        <v>2021</v>
      </c>
      <c r="G59">
        <f t="shared" si="2"/>
        <v>2021</v>
      </c>
      <c r="H59">
        <f t="shared" si="0"/>
        <v>0</v>
      </c>
    </row>
    <row r="60" spans="1:8" x14ac:dyDescent="0.25">
      <c r="A60" t="s">
        <v>2196</v>
      </c>
      <c r="B60" s="1">
        <v>45424</v>
      </c>
      <c r="C60" s="1">
        <v>45430</v>
      </c>
      <c r="D60" s="1">
        <v>45451</v>
      </c>
      <c r="E60">
        <v>50420.04</v>
      </c>
      <c r="F60">
        <f t="shared" si="1"/>
        <v>2024</v>
      </c>
      <c r="G60">
        <f t="shared" si="2"/>
        <v>2024</v>
      </c>
      <c r="H60">
        <f t="shared" si="0"/>
        <v>0</v>
      </c>
    </row>
    <row r="61" spans="1:8" x14ac:dyDescent="0.25">
      <c r="A61" t="s">
        <v>2197</v>
      </c>
      <c r="B61" s="1">
        <v>45473</v>
      </c>
      <c r="C61" s="1">
        <v>45481</v>
      </c>
      <c r="D61" s="1">
        <v>45755</v>
      </c>
      <c r="E61">
        <v>66354.14</v>
      </c>
      <c r="F61">
        <f t="shared" si="1"/>
        <v>2024</v>
      </c>
      <c r="G61">
        <f t="shared" si="2"/>
        <v>2025</v>
      </c>
      <c r="H61">
        <f t="shared" si="0"/>
        <v>1</v>
      </c>
    </row>
    <row r="62" spans="1:8" x14ac:dyDescent="0.25">
      <c r="A62" t="s">
        <v>2198</v>
      </c>
      <c r="B62" s="1">
        <v>44609</v>
      </c>
      <c r="C62" s="1">
        <v>44676</v>
      </c>
      <c r="D62" s="1">
        <v>45003</v>
      </c>
      <c r="E62">
        <v>54133.45</v>
      </c>
      <c r="F62">
        <f t="shared" si="1"/>
        <v>2022</v>
      </c>
      <c r="G62">
        <f t="shared" si="2"/>
        <v>2023</v>
      </c>
      <c r="H62">
        <f t="shared" si="0"/>
        <v>1</v>
      </c>
    </row>
    <row r="63" spans="1:8" x14ac:dyDescent="0.25">
      <c r="A63" t="s">
        <v>2199</v>
      </c>
      <c r="B63" s="1">
        <v>44217</v>
      </c>
      <c r="C63" s="1">
        <v>44288</v>
      </c>
      <c r="D63" s="1">
        <v>44628</v>
      </c>
      <c r="E63">
        <v>18746.39</v>
      </c>
      <c r="F63">
        <f t="shared" si="1"/>
        <v>2021</v>
      </c>
      <c r="G63">
        <f t="shared" si="2"/>
        <v>2022</v>
      </c>
      <c r="H63">
        <f t="shared" si="0"/>
        <v>1</v>
      </c>
    </row>
    <row r="64" spans="1:8" x14ac:dyDescent="0.25">
      <c r="A64" t="s">
        <v>2200</v>
      </c>
      <c r="B64" s="1">
        <v>44445</v>
      </c>
      <c r="C64" s="1">
        <v>44487</v>
      </c>
      <c r="D64" s="1">
        <v>44766</v>
      </c>
      <c r="E64">
        <v>33953.99</v>
      </c>
      <c r="F64">
        <f t="shared" si="1"/>
        <v>2021</v>
      </c>
      <c r="G64">
        <f t="shared" si="2"/>
        <v>2022</v>
      </c>
      <c r="H64">
        <f t="shared" si="0"/>
        <v>1</v>
      </c>
    </row>
    <row r="65" spans="1:8" x14ac:dyDescent="0.25">
      <c r="A65" t="s">
        <v>2201</v>
      </c>
      <c r="B65" s="1">
        <v>44240</v>
      </c>
      <c r="C65" s="1">
        <v>44281</v>
      </c>
      <c r="D65" s="1">
        <v>44471</v>
      </c>
      <c r="E65">
        <v>10593.64</v>
      </c>
      <c r="F65">
        <f t="shared" si="1"/>
        <v>2021</v>
      </c>
      <c r="G65">
        <f t="shared" si="2"/>
        <v>2021</v>
      </c>
      <c r="H65">
        <f t="shared" si="0"/>
        <v>0</v>
      </c>
    </row>
    <row r="66" spans="1:8" x14ac:dyDescent="0.25">
      <c r="A66" t="s">
        <v>2202</v>
      </c>
      <c r="B66" s="1">
        <v>44303</v>
      </c>
      <c r="C66" s="1">
        <v>44383</v>
      </c>
      <c r="D66" s="1">
        <v>44706</v>
      </c>
      <c r="E66">
        <v>20444.12</v>
      </c>
      <c r="F66">
        <f t="shared" si="1"/>
        <v>2021</v>
      </c>
      <c r="G66">
        <f t="shared" si="2"/>
        <v>2022</v>
      </c>
      <c r="H66">
        <f t="shared" ref="H66:H129" si="3">MAX(0,G66-F66)</f>
        <v>1</v>
      </c>
    </row>
    <row r="67" spans="1:8" x14ac:dyDescent="0.25">
      <c r="A67" t="s">
        <v>2201</v>
      </c>
      <c r="B67" s="1">
        <v>44240</v>
      </c>
      <c r="C67" s="1">
        <v>44281</v>
      </c>
      <c r="D67" s="1">
        <v>44596</v>
      </c>
      <c r="E67">
        <v>16503.37</v>
      </c>
      <c r="F67">
        <f t="shared" ref="F67:F130" si="4">YEAR(B67)</f>
        <v>2021</v>
      </c>
      <c r="G67">
        <f t="shared" ref="G67:G130" si="5">YEAR(D67)</f>
        <v>2022</v>
      </c>
      <c r="H67">
        <f t="shared" si="3"/>
        <v>1</v>
      </c>
    </row>
    <row r="68" spans="1:8" x14ac:dyDescent="0.25">
      <c r="A68" t="s">
        <v>2203</v>
      </c>
      <c r="B68" s="1">
        <v>45488</v>
      </c>
      <c r="C68" s="1">
        <v>45557</v>
      </c>
      <c r="D68" s="1">
        <v>45617</v>
      </c>
      <c r="E68">
        <v>13531.76</v>
      </c>
      <c r="F68">
        <f t="shared" si="4"/>
        <v>2024</v>
      </c>
      <c r="G68">
        <f t="shared" si="5"/>
        <v>2024</v>
      </c>
      <c r="H68">
        <f t="shared" si="3"/>
        <v>0</v>
      </c>
    </row>
    <row r="69" spans="1:8" x14ac:dyDescent="0.25">
      <c r="A69" t="s">
        <v>2179</v>
      </c>
      <c r="B69" s="1">
        <v>44302</v>
      </c>
      <c r="C69" s="1">
        <v>44335</v>
      </c>
      <c r="D69" s="1">
        <v>44497</v>
      </c>
      <c r="E69">
        <v>58020.5</v>
      </c>
      <c r="F69">
        <f t="shared" si="4"/>
        <v>2021</v>
      </c>
      <c r="G69">
        <f t="shared" si="5"/>
        <v>2021</v>
      </c>
      <c r="H69">
        <f t="shared" si="3"/>
        <v>0</v>
      </c>
    </row>
    <row r="70" spans="1:8" x14ac:dyDescent="0.25">
      <c r="A70" t="s">
        <v>2204</v>
      </c>
      <c r="B70" s="1">
        <v>45098</v>
      </c>
      <c r="C70" s="1">
        <v>45187</v>
      </c>
      <c r="D70" s="1">
        <v>45413</v>
      </c>
      <c r="E70">
        <v>37025.32</v>
      </c>
      <c r="F70">
        <f t="shared" si="4"/>
        <v>2023</v>
      </c>
      <c r="G70">
        <f t="shared" si="5"/>
        <v>2024</v>
      </c>
      <c r="H70">
        <f t="shared" si="3"/>
        <v>1</v>
      </c>
    </row>
    <row r="71" spans="1:8" x14ac:dyDescent="0.25">
      <c r="A71" t="s">
        <v>2205</v>
      </c>
      <c r="B71" s="1">
        <v>44017</v>
      </c>
      <c r="C71" s="1">
        <v>44058</v>
      </c>
      <c r="D71" s="1">
        <v>44198</v>
      </c>
      <c r="E71">
        <v>-2118.63</v>
      </c>
      <c r="F71">
        <f t="shared" si="4"/>
        <v>2020</v>
      </c>
      <c r="G71">
        <f t="shared" si="5"/>
        <v>2021</v>
      </c>
      <c r="H71">
        <f t="shared" si="3"/>
        <v>1</v>
      </c>
    </row>
    <row r="72" spans="1:8" x14ac:dyDescent="0.25">
      <c r="A72" t="s">
        <v>2184</v>
      </c>
      <c r="B72" s="1">
        <v>43910</v>
      </c>
      <c r="C72" s="1">
        <v>43943</v>
      </c>
      <c r="D72" s="1">
        <v>44231</v>
      </c>
      <c r="E72">
        <v>9950.4599999999991</v>
      </c>
      <c r="F72">
        <f t="shared" si="4"/>
        <v>2020</v>
      </c>
      <c r="G72">
        <f t="shared" si="5"/>
        <v>2021</v>
      </c>
      <c r="H72">
        <f t="shared" si="3"/>
        <v>1</v>
      </c>
    </row>
    <row r="73" spans="1:8" x14ac:dyDescent="0.25">
      <c r="A73" t="s">
        <v>2206</v>
      </c>
      <c r="B73" s="1">
        <v>45485</v>
      </c>
      <c r="C73" s="1">
        <v>45572</v>
      </c>
      <c r="D73" s="1">
        <v>45737</v>
      </c>
      <c r="E73">
        <v>54428.75</v>
      </c>
      <c r="F73">
        <f t="shared" si="4"/>
        <v>2024</v>
      </c>
      <c r="G73">
        <f t="shared" si="5"/>
        <v>2025</v>
      </c>
      <c r="H73">
        <f t="shared" si="3"/>
        <v>1</v>
      </c>
    </row>
    <row r="74" spans="1:8" x14ac:dyDescent="0.25">
      <c r="A74" t="s">
        <v>2207</v>
      </c>
      <c r="B74" s="1">
        <v>44888</v>
      </c>
      <c r="C74" s="1">
        <v>44933</v>
      </c>
      <c r="D74" s="1">
        <v>45010</v>
      </c>
      <c r="E74">
        <v>12607.09</v>
      </c>
      <c r="F74">
        <f t="shared" si="4"/>
        <v>2022</v>
      </c>
      <c r="G74">
        <f t="shared" si="5"/>
        <v>2023</v>
      </c>
      <c r="H74">
        <f t="shared" si="3"/>
        <v>1</v>
      </c>
    </row>
    <row r="75" spans="1:8" x14ac:dyDescent="0.25">
      <c r="A75" t="s">
        <v>2208</v>
      </c>
      <c r="B75" s="1">
        <v>44368</v>
      </c>
      <c r="D75" s="1">
        <v>44685</v>
      </c>
      <c r="E75">
        <v>68143.64</v>
      </c>
      <c r="F75">
        <f t="shared" si="4"/>
        <v>2021</v>
      </c>
      <c r="G75">
        <f t="shared" si="5"/>
        <v>2022</v>
      </c>
      <c r="H75">
        <f t="shared" si="3"/>
        <v>1</v>
      </c>
    </row>
    <row r="76" spans="1:8" x14ac:dyDescent="0.25">
      <c r="A76" t="s">
        <v>2209</v>
      </c>
      <c r="B76" s="1">
        <v>45331</v>
      </c>
      <c r="C76" s="1">
        <v>45402</v>
      </c>
      <c r="D76" s="1">
        <v>45428</v>
      </c>
      <c r="E76">
        <v>25447.95</v>
      </c>
      <c r="F76">
        <f t="shared" si="4"/>
        <v>2024</v>
      </c>
      <c r="G76">
        <f t="shared" si="5"/>
        <v>2024</v>
      </c>
      <c r="H76">
        <f t="shared" si="3"/>
        <v>0</v>
      </c>
    </row>
    <row r="77" spans="1:8" x14ac:dyDescent="0.25">
      <c r="A77" t="s">
        <v>2210</v>
      </c>
      <c r="B77" s="1">
        <v>44510</v>
      </c>
      <c r="C77" s="1">
        <v>44590</v>
      </c>
      <c r="D77" s="1">
        <v>44848</v>
      </c>
      <c r="E77">
        <v>77818.710000000006</v>
      </c>
      <c r="F77">
        <f t="shared" si="4"/>
        <v>2021</v>
      </c>
      <c r="G77">
        <f t="shared" si="5"/>
        <v>2022</v>
      </c>
      <c r="H77">
        <f t="shared" si="3"/>
        <v>1</v>
      </c>
    </row>
    <row r="78" spans="1:8" x14ac:dyDescent="0.25">
      <c r="A78" t="s">
        <v>2211</v>
      </c>
      <c r="B78" s="1">
        <v>43844</v>
      </c>
      <c r="C78" s="1">
        <v>43926</v>
      </c>
      <c r="D78" s="1">
        <v>44258</v>
      </c>
      <c r="E78">
        <v>30599.34</v>
      </c>
      <c r="F78">
        <f t="shared" si="4"/>
        <v>2020</v>
      </c>
      <c r="G78">
        <f t="shared" si="5"/>
        <v>2021</v>
      </c>
      <c r="H78">
        <f t="shared" si="3"/>
        <v>1</v>
      </c>
    </row>
    <row r="79" spans="1:8" x14ac:dyDescent="0.25">
      <c r="A79" t="s">
        <v>2212</v>
      </c>
      <c r="B79" s="1">
        <v>44422</v>
      </c>
      <c r="C79" s="1">
        <v>44478</v>
      </c>
      <c r="D79" s="1">
        <v>44543</v>
      </c>
      <c r="E79">
        <v>3268.62</v>
      </c>
      <c r="F79">
        <f t="shared" si="4"/>
        <v>2021</v>
      </c>
      <c r="G79">
        <f t="shared" si="5"/>
        <v>2021</v>
      </c>
      <c r="H79">
        <f t="shared" si="3"/>
        <v>0</v>
      </c>
    </row>
    <row r="80" spans="1:8" x14ac:dyDescent="0.25">
      <c r="A80" t="s">
        <v>2213</v>
      </c>
      <c r="B80" s="1">
        <v>44020</v>
      </c>
      <c r="C80" s="1">
        <v>44063</v>
      </c>
      <c r="D80" s="1">
        <v>44164</v>
      </c>
      <c r="E80">
        <v>-7370.24</v>
      </c>
      <c r="F80">
        <f t="shared" si="4"/>
        <v>2020</v>
      </c>
      <c r="G80">
        <f t="shared" si="5"/>
        <v>2020</v>
      </c>
      <c r="H80">
        <f t="shared" si="3"/>
        <v>0</v>
      </c>
    </row>
    <row r="81" spans="1:8" x14ac:dyDescent="0.25">
      <c r="A81" t="s">
        <v>2214</v>
      </c>
      <c r="B81" s="1">
        <v>44908</v>
      </c>
      <c r="C81" s="1">
        <v>44953</v>
      </c>
      <c r="D81" s="1">
        <v>45207</v>
      </c>
      <c r="E81">
        <v>59098.35</v>
      </c>
      <c r="F81">
        <f t="shared" si="4"/>
        <v>2022</v>
      </c>
      <c r="G81">
        <f t="shared" si="5"/>
        <v>2023</v>
      </c>
      <c r="H81">
        <f t="shared" si="3"/>
        <v>1</v>
      </c>
    </row>
    <row r="82" spans="1:8" x14ac:dyDescent="0.25">
      <c r="A82" t="s">
        <v>2215</v>
      </c>
      <c r="B82" s="1">
        <v>44245</v>
      </c>
      <c r="C82" s="1">
        <v>44276</v>
      </c>
      <c r="D82" s="1">
        <v>44337</v>
      </c>
      <c r="E82">
        <v>68061.350000000006</v>
      </c>
      <c r="F82">
        <f t="shared" si="4"/>
        <v>2021</v>
      </c>
      <c r="G82">
        <f t="shared" si="5"/>
        <v>2021</v>
      </c>
      <c r="H82">
        <f t="shared" si="3"/>
        <v>0</v>
      </c>
    </row>
    <row r="83" spans="1:8" x14ac:dyDescent="0.25">
      <c r="A83" t="s">
        <v>2216</v>
      </c>
      <c r="B83" s="1">
        <v>44382</v>
      </c>
      <c r="C83" s="1">
        <v>44411</v>
      </c>
      <c r="D83" s="1">
        <v>44574</v>
      </c>
      <c r="E83">
        <v>-12495.9</v>
      </c>
      <c r="F83">
        <f t="shared" si="4"/>
        <v>2021</v>
      </c>
      <c r="G83">
        <f t="shared" si="5"/>
        <v>2022</v>
      </c>
      <c r="H83">
        <f t="shared" si="3"/>
        <v>1</v>
      </c>
    </row>
    <row r="84" spans="1:8" x14ac:dyDescent="0.25">
      <c r="A84" t="s">
        <v>2217</v>
      </c>
      <c r="B84" s="1">
        <v>43979</v>
      </c>
      <c r="C84" s="1">
        <v>44024</v>
      </c>
      <c r="D84" s="1">
        <v>44183</v>
      </c>
      <c r="E84">
        <v>5568</v>
      </c>
      <c r="F84">
        <f t="shared" si="4"/>
        <v>2020</v>
      </c>
      <c r="G84">
        <f t="shared" si="5"/>
        <v>2020</v>
      </c>
      <c r="H84">
        <f t="shared" si="3"/>
        <v>0</v>
      </c>
    </row>
    <row r="85" spans="1:8" x14ac:dyDescent="0.25">
      <c r="A85" t="s">
        <v>2218</v>
      </c>
      <c r="B85" s="1">
        <v>44192</v>
      </c>
      <c r="C85" s="1">
        <v>44226</v>
      </c>
      <c r="D85" s="1">
        <v>44808</v>
      </c>
      <c r="E85">
        <v>52615.68</v>
      </c>
      <c r="F85">
        <f t="shared" si="4"/>
        <v>2020</v>
      </c>
      <c r="G85">
        <f t="shared" si="5"/>
        <v>2022</v>
      </c>
      <c r="H85">
        <f t="shared" si="3"/>
        <v>2</v>
      </c>
    </row>
    <row r="86" spans="1:8" x14ac:dyDescent="0.25">
      <c r="A86" t="s">
        <v>2219</v>
      </c>
      <c r="B86" s="1">
        <v>44609</v>
      </c>
      <c r="C86" s="1">
        <v>44658</v>
      </c>
      <c r="D86" s="1">
        <v>44810</v>
      </c>
      <c r="E86">
        <v>22519.75</v>
      </c>
      <c r="F86">
        <f t="shared" si="4"/>
        <v>2022</v>
      </c>
      <c r="G86">
        <f t="shared" si="5"/>
        <v>2022</v>
      </c>
      <c r="H86">
        <f t="shared" si="3"/>
        <v>0</v>
      </c>
    </row>
    <row r="87" spans="1:8" x14ac:dyDescent="0.25">
      <c r="A87" t="s">
        <v>2220</v>
      </c>
      <c r="B87" s="1">
        <v>45019</v>
      </c>
      <c r="C87" s="1">
        <v>45102</v>
      </c>
      <c r="D87" s="1">
        <v>45255</v>
      </c>
      <c r="E87">
        <v>-5333.79</v>
      </c>
      <c r="F87">
        <f t="shared" si="4"/>
        <v>2023</v>
      </c>
      <c r="G87">
        <f t="shared" si="5"/>
        <v>2023</v>
      </c>
      <c r="H87">
        <f t="shared" si="3"/>
        <v>0</v>
      </c>
    </row>
    <row r="88" spans="1:8" x14ac:dyDescent="0.25">
      <c r="A88" t="s">
        <v>2221</v>
      </c>
      <c r="B88" s="1">
        <v>45422</v>
      </c>
      <c r="C88" s="1">
        <v>45478</v>
      </c>
      <c r="D88" s="1">
        <v>45700</v>
      </c>
      <c r="E88">
        <v>-19294.27</v>
      </c>
      <c r="F88">
        <f t="shared" si="4"/>
        <v>2024</v>
      </c>
      <c r="G88">
        <f t="shared" si="5"/>
        <v>2025</v>
      </c>
      <c r="H88">
        <f t="shared" si="3"/>
        <v>1</v>
      </c>
    </row>
    <row r="89" spans="1:8" x14ac:dyDescent="0.25">
      <c r="A89" t="s">
        <v>2222</v>
      </c>
      <c r="B89" s="1">
        <v>43941</v>
      </c>
      <c r="C89" s="1">
        <v>43942</v>
      </c>
      <c r="D89" s="1">
        <v>44273</v>
      </c>
      <c r="E89">
        <v>-13554</v>
      </c>
      <c r="F89">
        <f t="shared" si="4"/>
        <v>2020</v>
      </c>
      <c r="G89">
        <f t="shared" si="5"/>
        <v>2021</v>
      </c>
      <c r="H89">
        <f t="shared" si="3"/>
        <v>1</v>
      </c>
    </row>
    <row r="90" spans="1:8" x14ac:dyDescent="0.25">
      <c r="A90" t="s">
        <v>2223</v>
      </c>
      <c r="B90" s="1">
        <v>45082</v>
      </c>
      <c r="D90" s="1">
        <v>45428</v>
      </c>
      <c r="E90">
        <v>30998.54</v>
      </c>
      <c r="F90">
        <f t="shared" si="4"/>
        <v>2023</v>
      </c>
      <c r="G90">
        <f t="shared" si="5"/>
        <v>2024</v>
      </c>
      <c r="H90">
        <f t="shared" si="3"/>
        <v>1</v>
      </c>
    </row>
    <row r="91" spans="1:8" x14ac:dyDescent="0.25">
      <c r="A91" t="s">
        <v>2224</v>
      </c>
      <c r="B91" s="1">
        <v>45192</v>
      </c>
      <c r="C91" s="1">
        <v>45256</v>
      </c>
      <c r="D91" s="1">
        <v>45399</v>
      </c>
      <c r="E91">
        <v>67480.73</v>
      </c>
      <c r="F91">
        <f t="shared" si="4"/>
        <v>2023</v>
      </c>
      <c r="G91">
        <f t="shared" si="5"/>
        <v>2024</v>
      </c>
      <c r="H91">
        <f t="shared" si="3"/>
        <v>1</v>
      </c>
    </row>
    <row r="92" spans="1:8" x14ac:dyDescent="0.25">
      <c r="A92" t="s">
        <v>2225</v>
      </c>
      <c r="B92" s="1">
        <v>44040</v>
      </c>
      <c r="C92" s="1">
        <v>44050</v>
      </c>
      <c r="D92" s="1">
        <v>44183</v>
      </c>
      <c r="E92">
        <v>2839.02</v>
      </c>
      <c r="F92">
        <f t="shared" si="4"/>
        <v>2020</v>
      </c>
      <c r="G92">
        <f t="shared" si="5"/>
        <v>2020</v>
      </c>
      <c r="H92">
        <f t="shared" si="3"/>
        <v>0</v>
      </c>
    </row>
    <row r="93" spans="1:8" x14ac:dyDescent="0.25">
      <c r="A93" t="s">
        <v>2226</v>
      </c>
      <c r="B93" s="1">
        <v>44573</v>
      </c>
      <c r="C93" s="1">
        <v>44603</v>
      </c>
      <c r="D93" s="1">
        <v>44824</v>
      </c>
      <c r="E93">
        <v>79606.47</v>
      </c>
      <c r="F93">
        <f t="shared" si="4"/>
        <v>2022</v>
      </c>
      <c r="G93">
        <f t="shared" si="5"/>
        <v>2022</v>
      </c>
      <c r="H93">
        <f t="shared" si="3"/>
        <v>0</v>
      </c>
    </row>
    <row r="94" spans="1:8" x14ac:dyDescent="0.25">
      <c r="A94" t="s">
        <v>2227</v>
      </c>
      <c r="B94" s="1">
        <v>44163</v>
      </c>
      <c r="C94" s="1">
        <v>44240</v>
      </c>
      <c r="D94" s="1">
        <v>44256</v>
      </c>
      <c r="E94">
        <v>77903.55</v>
      </c>
      <c r="F94">
        <f t="shared" si="4"/>
        <v>2020</v>
      </c>
      <c r="G94">
        <f t="shared" si="5"/>
        <v>2021</v>
      </c>
      <c r="H94">
        <f t="shared" si="3"/>
        <v>1</v>
      </c>
    </row>
    <row r="95" spans="1:8" x14ac:dyDescent="0.25">
      <c r="A95" t="s">
        <v>2228</v>
      </c>
      <c r="B95" s="1">
        <v>45097</v>
      </c>
      <c r="C95" s="1">
        <v>45117</v>
      </c>
      <c r="D95" s="1">
        <v>45177</v>
      </c>
      <c r="E95">
        <v>59193.11</v>
      </c>
      <c r="F95">
        <f t="shared" si="4"/>
        <v>2023</v>
      </c>
      <c r="G95">
        <f t="shared" si="5"/>
        <v>2023</v>
      </c>
      <c r="H95">
        <f t="shared" si="3"/>
        <v>0</v>
      </c>
    </row>
    <row r="96" spans="1:8" x14ac:dyDescent="0.25">
      <c r="A96" t="s">
        <v>2229</v>
      </c>
      <c r="B96" s="1">
        <v>44534</v>
      </c>
      <c r="C96" s="1">
        <v>44590</v>
      </c>
      <c r="D96" s="1">
        <v>44637</v>
      </c>
      <c r="E96">
        <v>54243.78</v>
      </c>
      <c r="F96">
        <f t="shared" si="4"/>
        <v>2021</v>
      </c>
      <c r="G96">
        <f t="shared" si="5"/>
        <v>2022</v>
      </c>
      <c r="H96">
        <f t="shared" si="3"/>
        <v>1</v>
      </c>
    </row>
    <row r="97" spans="1:8" x14ac:dyDescent="0.25">
      <c r="A97" t="s">
        <v>2230</v>
      </c>
      <c r="B97" s="1">
        <v>45213</v>
      </c>
      <c r="C97" s="1">
        <v>45255</v>
      </c>
      <c r="D97" s="1">
        <v>45180</v>
      </c>
      <c r="E97">
        <v>13015.09</v>
      </c>
      <c r="F97">
        <f t="shared" si="4"/>
        <v>2023</v>
      </c>
      <c r="G97">
        <f t="shared" si="5"/>
        <v>2023</v>
      </c>
      <c r="H97">
        <f t="shared" si="3"/>
        <v>0</v>
      </c>
    </row>
    <row r="98" spans="1:8" x14ac:dyDescent="0.25">
      <c r="A98" t="s">
        <v>2231</v>
      </c>
      <c r="B98" s="1">
        <v>44420</v>
      </c>
      <c r="C98" s="1">
        <v>44441</v>
      </c>
      <c r="D98" s="1">
        <v>44381</v>
      </c>
      <c r="E98">
        <v>40819.550000000003</v>
      </c>
      <c r="F98">
        <f t="shared" si="4"/>
        <v>2021</v>
      </c>
      <c r="G98">
        <f t="shared" si="5"/>
        <v>2021</v>
      </c>
      <c r="H98">
        <f t="shared" si="3"/>
        <v>0</v>
      </c>
    </row>
    <row r="99" spans="1:8" x14ac:dyDescent="0.25">
      <c r="A99" t="s">
        <v>2232</v>
      </c>
      <c r="B99" s="1">
        <v>45197</v>
      </c>
      <c r="C99" s="1">
        <v>45270</v>
      </c>
      <c r="D99" s="1">
        <v>45685</v>
      </c>
      <c r="E99">
        <v>-8211.69</v>
      </c>
      <c r="F99">
        <f t="shared" si="4"/>
        <v>2023</v>
      </c>
      <c r="G99">
        <f t="shared" si="5"/>
        <v>2025</v>
      </c>
      <c r="H99">
        <f t="shared" si="3"/>
        <v>2</v>
      </c>
    </row>
    <row r="100" spans="1:8" x14ac:dyDescent="0.25">
      <c r="A100" t="s">
        <v>2233</v>
      </c>
      <c r="B100" s="1">
        <v>44243</v>
      </c>
      <c r="C100" s="1">
        <v>44301</v>
      </c>
      <c r="D100" s="1">
        <v>44544</v>
      </c>
      <c r="E100">
        <v>17926.400000000001</v>
      </c>
      <c r="F100">
        <f t="shared" si="4"/>
        <v>2021</v>
      </c>
      <c r="G100">
        <f t="shared" si="5"/>
        <v>2021</v>
      </c>
      <c r="H100">
        <f t="shared" si="3"/>
        <v>0</v>
      </c>
    </row>
    <row r="101" spans="1:8" x14ac:dyDescent="0.25">
      <c r="A101" t="s">
        <v>2234</v>
      </c>
      <c r="B101" s="1">
        <v>44733</v>
      </c>
      <c r="C101" s="1">
        <v>44752</v>
      </c>
      <c r="D101" s="1">
        <v>44777</v>
      </c>
      <c r="E101">
        <v>15295.74</v>
      </c>
      <c r="F101">
        <f t="shared" si="4"/>
        <v>2022</v>
      </c>
      <c r="G101">
        <f t="shared" si="5"/>
        <v>2022</v>
      </c>
      <c r="H101">
        <f t="shared" si="3"/>
        <v>0</v>
      </c>
    </row>
    <row r="102" spans="1:8" x14ac:dyDescent="0.25">
      <c r="A102" t="s">
        <v>2235</v>
      </c>
      <c r="B102" s="1">
        <v>43854</v>
      </c>
      <c r="C102" s="1">
        <v>43896</v>
      </c>
      <c r="D102" s="1">
        <v>44499</v>
      </c>
      <c r="E102">
        <v>22792.93</v>
      </c>
      <c r="F102">
        <f t="shared" si="4"/>
        <v>2020</v>
      </c>
      <c r="G102">
        <f t="shared" si="5"/>
        <v>2021</v>
      </c>
      <c r="H102">
        <f t="shared" si="3"/>
        <v>1</v>
      </c>
    </row>
    <row r="103" spans="1:8" x14ac:dyDescent="0.25">
      <c r="A103" t="s">
        <v>2236</v>
      </c>
      <c r="B103" s="1">
        <v>45218</v>
      </c>
      <c r="C103" s="1">
        <v>45266</v>
      </c>
      <c r="D103" s="1">
        <v>45586</v>
      </c>
      <c r="E103">
        <v>20384.14</v>
      </c>
      <c r="F103">
        <f t="shared" si="4"/>
        <v>2023</v>
      </c>
      <c r="G103">
        <f t="shared" si="5"/>
        <v>2024</v>
      </c>
      <c r="H103">
        <f t="shared" si="3"/>
        <v>1</v>
      </c>
    </row>
    <row r="104" spans="1:8" x14ac:dyDescent="0.25">
      <c r="A104" t="s">
        <v>2237</v>
      </c>
      <c r="B104" s="1">
        <v>45411</v>
      </c>
      <c r="C104" s="1">
        <v>45414</v>
      </c>
      <c r="D104" s="1">
        <v>45502</v>
      </c>
      <c r="E104">
        <v>4432.7299999999996</v>
      </c>
      <c r="F104">
        <f t="shared" si="4"/>
        <v>2024</v>
      </c>
      <c r="G104">
        <f t="shared" si="5"/>
        <v>2024</v>
      </c>
      <c r="H104">
        <f t="shared" si="3"/>
        <v>0</v>
      </c>
    </row>
    <row r="105" spans="1:8" x14ac:dyDescent="0.25">
      <c r="A105" t="s">
        <v>2238</v>
      </c>
      <c r="B105" s="1">
        <v>44917</v>
      </c>
      <c r="C105" s="1">
        <v>44996</v>
      </c>
      <c r="D105" s="1">
        <v>45027</v>
      </c>
      <c r="E105">
        <v>-22282.32</v>
      </c>
      <c r="F105">
        <f t="shared" si="4"/>
        <v>2022</v>
      </c>
      <c r="G105">
        <f t="shared" si="5"/>
        <v>2023</v>
      </c>
      <c r="H105">
        <f t="shared" si="3"/>
        <v>1</v>
      </c>
    </row>
    <row r="106" spans="1:8" x14ac:dyDescent="0.25">
      <c r="A106" t="s">
        <v>2239</v>
      </c>
      <c r="B106" s="1">
        <v>45588</v>
      </c>
      <c r="D106" s="1">
        <v>45675</v>
      </c>
      <c r="E106">
        <v>51033.06</v>
      </c>
      <c r="F106">
        <f t="shared" si="4"/>
        <v>2024</v>
      </c>
      <c r="G106">
        <f t="shared" si="5"/>
        <v>2025</v>
      </c>
      <c r="H106">
        <f t="shared" si="3"/>
        <v>1</v>
      </c>
    </row>
    <row r="107" spans="1:8" x14ac:dyDescent="0.25">
      <c r="A107" t="s">
        <v>2240</v>
      </c>
      <c r="B107" s="1">
        <v>44694</v>
      </c>
      <c r="C107" s="1">
        <v>44770</v>
      </c>
      <c r="D107" s="1">
        <v>45166</v>
      </c>
      <c r="E107">
        <v>55924.47</v>
      </c>
      <c r="F107">
        <f t="shared" si="4"/>
        <v>2022</v>
      </c>
      <c r="G107">
        <f t="shared" si="5"/>
        <v>2023</v>
      </c>
      <c r="H107">
        <f t="shared" si="3"/>
        <v>1</v>
      </c>
    </row>
    <row r="108" spans="1:8" x14ac:dyDescent="0.25">
      <c r="A108" t="s">
        <v>2241</v>
      </c>
      <c r="B108" s="1">
        <v>45286</v>
      </c>
      <c r="C108" s="1">
        <v>45306</v>
      </c>
      <c r="D108" s="1">
        <v>45448</v>
      </c>
      <c r="E108">
        <v>2861.36</v>
      </c>
      <c r="F108">
        <f t="shared" si="4"/>
        <v>2023</v>
      </c>
      <c r="G108">
        <f t="shared" si="5"/>
        <v>2024</v>
      </c>
      <c r="H108">
        <f t="shared" si="3"/>
        <v>1</v>
      </c>
    </row>
    <row r="109" spans="1:8" x14ac:dyDescent="0.25">
      <c r="A109" t="s">
        <v>2242</v>
      </c>
      <c r="B109" s="1">
        <v>44808</v>
      </c>
      <c r="C109" s="1">
        <v>44826</v>
      </c>
      <c r="D109" s="1">
        <v>44964</v>
      </c>
      <c r="E109">
        <v>31572.29</v>
      </c>
      <c r="F109">
        <f t="shared" si="4"/>
        <v>2022</v>
      </c>
      <c r="G109">
        <f t="shared" si="5"/>
        <v>2023</v>
      </c>
      <c r="H109">
        <f t="shared" si="3"/>
        <v>1</v>
      </c>
    </row>
    <row r="110" spans="1:8" x14ac:dyDescent="0.25">
      <c r="A110" t="s">
        <v>2233</v>
      </c>
      <c r="B110" s="1">
        <v>44243</v>
      </c>
      <c r="C110" s="1">
        <v>44301</v>
      </c>
      <c r="D110" s="1">
        <v>44440</v>
      </c>
      <c r="E110">
        <v>81344.31</v>
      </c>
      <c r="F110">
        <f t="shared" si="4"/>
        <v>2021</v>
      </c>
      <c r="G110">
        <f t="shared" si="5"/>
        <v>2021</v>
      </c>
      <c r="H110">
        <f t="shared" si="3"/>
        <v>0</v>
      </c>
    </row>
    <row r="111" spans="1:8" x14ac:dyDescent="0.25">
      <c r="A111" t="s">
        <v>2243</v>
      </c>
      <c r="B111" s="1">
        <v>44141</v>
      </c>
      <c r="C111" s="1">
        <v>44207</v>
      </c>
      <c r="D111" s="1">
        <v>44661</v>
      </c>
      <c r="E111">
        <v>77608.179999999993</v>
      </c>
      <c r="F111">
        <f t="shared" si="4"/>
        <v>2020</v>
      </c>
      <c r="G111">
        <f t="shared" si="5"/>
        <v>2022</v>
      </c>
      <c r="H111">
        <f t="shared" si="3"/>
        <v>2</v>
      </c>
    </row>
    <row r="112" spans="1:8" x14ac:dyDescent="0.25">
      <c r="A112" t="s">
        <v>2244</v>
      </c>
      <c r="B112" s="1">
        <v>44865</v>
      </c>
      <c r="C112" s="1">
        <v>44907</v>
      </c>
      <c r="D112" s="1">
        <v>45233</v>
      </c>
      <c r="E112">
        <v>-17891.650000000001</v>
      </c>
      <c r="F112">
        <f t="shared" si="4"/>
        <v>2022</v>
      </c>
      <c r="G112">
        <f t="shared" si="5"/>
        <v>2023</v>
      </c>
      <c r="H112">
        <f t="shared" si="3"/>
        <v>1</v>
      </c>
    </row>
    <row r="113" spans="1:8" x14ac:dyDescent="0.25">
      <c r="A113" t="s">
        <v>2245</v>
      </c>
      <c r="B113" s="1">
        <v>44506</v>
      </c>
      <c r="C113" s="1">
        <v>44519</v>
      </c>
      <c r="D113" s="1">
        <v>44598</v>
      </c>
      <c r="E113">
        <v>24165.72</v>
      </c>
      <c r="F113">
        <f t="shared" si="4"/>
        <v>2021</v>
      </c>
      <c r="G113">
        <f t="shared" si="5"/>
        <v>2022</v>
      </c>
      <c r="H113">
        <f t="shared" si="3"/>
        <v>1</v>
      </c>
    </row>
    <row r="114" spans="1:8" x14ac:dyDescent="0.25">
      <c r="A114" t="s">
        <v>2246</v>
      </c>
      <c r="B114" s="1">
        <v>44830</v>
      </c>
      <c r="C114" s="1">
        <v>44847</v>
      </c>
      <c r="D114" s="1">
        <v>45001</v>
      </c>
      <c r="E114">
        <v>-16735.52</v>
      </c>
      <c r="F114">
        <f t="shared" si="4"/>
        <v>2022</v>
      </c>
      <c r="G114">
        <f t="shared" si="5"/>
        <v>2023</v>
      </c>
      <c r="H114">
        <f t="shared" si="3"/>
        <v>1</v>
      </c>
    </row>
    <row r="115" spans="1:8" x14ac:dyDescent="0.25">
      <c r="A115" t="s">
        <v>2247</v>
      </c>
      <c r="B115" s="1">
        <v>44098</v>
      </c>
      <c r="C115" s="1">
        <v>44132</v>
      </c>
      <c r="D115" s="1">
        <v>44387</v>
      </c>
      <c r="E115">
        <v>47688.86</v>
      </c>
      <c r="F115">
        <f t="shared" si="4"/>
        <v>2020</v>
      </c>
      <c r="G115">
        <f t="shared" si="5"/>
        <v>2021</v>
      </c>
      <c r="H115">
        <f t="shared" si="3"/>
        <v>1</v>
      </c>
    </row>
    <row r="116" spans="1:8" x14ac:dyDescent="0.25">
      <c r="A116" t="s">
        <v>2198</v>
      </c>
      <c r="B116" s="1">
        <v>44609</v>
      </c>
      <c r="C116" s="1">
        <v>44676</v>
      </c>
      <c r="D116" s="1">
        <v>45021</v>
      </c>
      <c r="E116">
        <v>20407.13</v>
      </c>
      <c r="F116">
        <f t="shared" si="4"/>
        <v>2022</v>
      </c>
      <c r="G116">
        <f t="shared" si="5"/>
        <v>2023</v>
      </c>
      <c r="H116">
        <f t="shared" si="3"/>
        <v>1</v>
      </c>
    </row>
    <row r="117" spans="1:8" x14ac:dyDescent="0.25">
      <c r="A117" t="s">
        <v>2248</v>
      </c>
      <c r="B117" s="1">
        <v>44202</v>
      </c>
      <c r="C117" s="1">
        <v>44247</v>
      </c>
      <c r="D117" s="1">
        <v>44426</v>
      </c>
      <c r="E117">
        <v>48433.15</v>
      </c>
      <c r="F117">
        <f t="shared" si="4"/>
        <v>2021</v>
      </c>
      <c r="G117">
        <f t="shared" si="5"/>
        <v>2021</v>
      </c>
      <c r="H117">
        <f t="shared" si="3"/>
        <v>0</v>
      </c>
    </row>
    <row r="118" spans="1:8" x14ac:dyDescent="0.25">
      <c r="A118" t="s">
        <v>2249</v>
      </c>
      <c r="B118" s="1">
        <v>44294</v>
      </c>
      <c r="C118" s="1">
        <v>44304</v>
      </c>
      <c r="D118" s="1">
        <v>44467</v>
      </c>
      <c r="E118">
        <v>83898.78</v>
      </c>
      <c r="F118">
        <f t="shared" si="4"/>
        <v>2021</v>
      </c>
      <c r="G118">
        <f t="shared" si="5"/>
        <v>2021</v>
      </c>
      <c r="H118">
        <f t="shared" si="3"/>
        <v>0</v>
      </c>
    </row>
    <row r="119" spans="1:8" x14ac:dyDescent="0.25">
      <c r="A119" t="s">
        <v>2250</v>
      </c>
      <c r="B119" s="1">
        <v>43958</v>
      </c>
      <c r="C119" s="1">
        <v>44030</v>
      </c>
      <c r="D119" s="1">
        <v>44232</v>
      </c>
      <c r="E119">
        <v>33417.74</v>
      </c>
      <c r="F119">
        <f t="shared" si="4"/>
        <v>2020</v>
      </c>
      <c r="G119">
        <f t="shared" si="5"/>
        <v>2021</v>
      </c>
      <c r="H119">
        <f t="shared" si="3"/>
        <v>1</v>
      </c>
    </row>
    <row r="120" spans="1:8" x14ac:dyDescent="0.25">
      <c r="A120" t="s">
        <v>2251</v>
      </c>
      <c r="B120" s="1">
        <v>44692</v>
      </c>
      <c r="D120" s="1">
        <v>44875</v>
      </c>
      <c r="E120">
        <v>26165.02</v>
      </c>
      <c r="F120">
        <f t="shared" si="4"/>
        <v>2022</v>
      </c>
      <c r="G120">
        <f t="shared" si="5"/>
        <v>2022</v>
      </c>
      <c r="H120">
        <f t="shared" si="3"/>
        <v>0</v>
      </c>
    </row>
    <row r="121" spans="1:8" x14ac:dyDescent="0.25">
      <c r="A121" t="s">
        <v>2252</v>
      </c>
      <c r="B121" s="1">
        <v>43950</v>
      </c>
      <c r="C121" s="1">
        <v>44010</v>
      </c>
      <c r="D121" s="1">
        <v>44197</v>
      </c>
      <c r="E121">
        <v>22658.61</v>
      </c>
      <c r="F121">
        <f t="shared" si="4"/>
        <v>2020</v>
      </c>
      <c r="G121">
        <f t="shared" si="5"/>
        <v>2021</v>
      </c>
      <c r="H121">
        <f t="shared" si="3"/>
        <v>1</v>
      </c>
    </row>
    <row r="122" spans="1:8" x14ac:dyDescent="0.25">
      <c r="A122" t="s">
        <v>2253</v>
      </c>
      <c r="B122" s="1">
        <v>45559</v>
      </c>
      <c r="C122" s="1">
        <v>45624</v>
      </c>
      <c r="D122" s="1">
        <v>45703</v>
      </c>
      <c r="E122">
        <v>-6032.06</v>
      </c>
      <c r="F122">
        <f t="shared" si="4"/>
        <v>2024</v>
      </c>
      <c r="G122">
        <f t="shared" si="5"/>
        <v>2025</v>
      </c>
      <c r="H122">
        <f t="shared" si="3"/>
        <v>1</v>
      </c>
    </row>
    <row r="123" spans="1:8" x14ac:dyDescent="0.25">
      <c r="A123" t="s">
        <v>2254</v>
      </c>
      <c r="B123" s="1">
        <v>44035</v>
      </c>
      <c r="C123" s="1">
        <v>44101</v>
      </c>
      <c r="D123" s="1">
        <v>44308</v>
      </c>
      <c r="E123">
        <v>56937.62</v>
      </c>
      <c r="F123">
        <f t="shared" si="4"/>
        <v>2020</v>
      </c>
      <c r="G123">
        <f t="shared" si="5"/>
        <v>2021</v>
      </c>
      <c r="H123">
        <f t="shared" si="3"/>
        <v>1</v>
      </c>
    </row>
    <row r="124" spans="1:8" x14ac:dyDescent="0.25">
      <c r="A124" t="s">
        <v>2255</v>
      </c>
      <c r="B124" s="1">
        <v>44913</v>
      </c>
      <c r="C124" s="1">
        <v>44942</v>
      </c>
      <c r="D124" s="1">
        <v>45052</v>
      </c>
      <c r="E124">
        <v>41807.11</v>
      </c>
      <c r="F124">
        <f t="shared" si="4"/>
        <v>2022</v>
      </c>
      <c r="G124">
        <f t="shared" si="5"/>
        <v>2023</v>
      </c>
      <c r="H124">
        <f t="shared" si="3"/>
        <v>1</v>
      </c>
    </row>
    <row r="125" spans="1:8" x14ac:dyDescent="0.25">
      <c r="A125" t="s">
        <v>2256</v>
      </c>
      <c r="B125" s="1">
        <v>44198</v>
      </c>
      <c r="C125" s="1">
        <v>44246</v>
      </c>
      <c r="D125" s="1">
        <v>44484</v>
      </c>
      <c r="E125">
        <v>21689.119999999999</v>
      </c>
      <c r="F125">
        <f t="shared" si="4"/>
        <v>2021</v>
      </c>
      <c r="G125">
        <f t="shared" si="5"/>
        <v>2021</v>
      </c>
      <c r="H125">
        <f t="shared" si="3"/>
        <v>0</v>
      </c>
    </row>
    <row r="126" spans="1:8" x14ac:dyDescent="0.25">
      <c r="A126" t="s">
        <v>2257</v>
      </c>
      <c r="B126" s="1">
        <v>44744</v>
      </c>
      <c r="C126" s="1">
        <v>44781</v>
      </c>
      <c r="D126" s="1">
        <v>44938</v>
      </c>
      <c r="E126">
        <v>26300.32</v>
      </c>
      <c r="F126">
        <f t="shared" si="4"/>
        <v>2022</v>
      </c>
      <c r="G126">
        <f t="shared" si="5"/>
        <v>2023</v>
      </c>
      <c r="H126">
        <f t="shared" si="3"/>
        <v>1</v>
      </c>
    </row>
    <row r="127" spans="1:8" x14ac:dyDescent="0.25">
      <c r="A127" t="s">
        <v>2249</v>
      </c>
      <c r="B127" s="1">
        <v>44294</v>
      </c>
      <c r="C127" s="1">
        <v>44304</v>
      </c>
      <c r="D127" s="1">
        <v>44569</v>
      </c>
      <c r="E127">
        <v>78333.88</v>
      </c>
      <c r="F127">
        <f t="shared" si="4"/>
        <v>2021</v>
      </c>
      <c r="G127">
        <f t="shared" si="5"/>
        <v>2022</v>
      </c>
      <c r="H127">
        <f t="shared" si="3"/>
        <v>1</v>
      </c>
    </row>
    <row r="128" spans="1:8" x14ac:dyDescent="0.25">
      <c r="A128" t="s">
        <v>2258</v>
      </c>
      <c r="B128" s="1">
        <v>45607</v>
      </c>
      <c r="C128" s="1">
        <v>45624</v>
      </c>
      <c r="D128" s="1">
        <v>45698</v>
      </c>
      <c r="E128">
        <v>50044.58</v>
      </c>
      <c r="F128">
        <f t="shared" si="4"/>
        <v>2024</v>
      </c>
      <c r="G128">
        <f t="shared" si="5"/>
        <v>2025</v>
      </c>
      <c r="H128">
        <f t="shared" si="3"/>
        <v>1</v>
      </c>
    </row>
    <row r="129" spans="1:8" x14ac:dyDescent="0.25">
      <c r="A129" t="s">
        <v>2143</v>
      </c>
      <c r="B129" s="1">
        <v>44577</v>
      </c>
      <c r="C129" s="1">
        <v>44587</v>
      </c>
      <c r="D129" s="1">
        <v>44980</v>
      </c>
      <c r="E129">
        <v>77630.22</v>
      </c>
      <c r="F129">
        <f t="shared" si="4"/>
        <v>2022</v>
      </c>
      <c r="G129">
        <f t="shared" si="5"/>
        <v>2023</v>
      </c>
      <c r="H129">
        <f t="shared" si="3"/>
        <v>1</v>
      </c>
    </row>
    <row r="130" spans="1:8" x14ac:dyDescent="0.25">
      <c r="A130" t="s">
        <v>2259</v>
      </c>
      <c r="B130" s="1">
        <v>45320</v>
      </c>
      <c r="C130" s="1">
        <v>45349</v>
      </c>
      <c r="D130" s="1">
        <v>45506</v>
      </c>
      <c r="E130">
        <v>55913.919999999998</v>
      </c>
      <c r="F130">
        <f t="shared" si="4"/>
        <v>2024</v>
      </c>
      <c r="G130">
        <f t="shared" si="5"/>
        <v>2024</v>
      </c>
      <c r="H130">
        <f t="shared" ref="H130:H193" si="6">MAX(0,G130-F130)</f>
        <v>0</v>
      </c>
    </row>
    <row r="131" spans="1:8" x14ac:dyDescent="0.25">
      <c r="A131" t="s">
        <v>2260</v>
      </c>
      <c r="B131" s="1">
        <v>44978</v>
      </c>
      <c r="C131" s="1">
        <v>45024</v>
      </c>
      <c r="D131" s="1">
        <v>45434</v>
      </c>
      <c r="E131">
        <v>-8090.47</v>
      </c>
      <c r="F131">
        <f t="shared" ref="F131:F194" si="7">YEAR(B131)</f>
        <v>2023</v>
      </c>
      <c r="G131">
        <f t="shared" ref="G131:G194" si="8">YEAR(D131)</f>
        <v>2024</v>
      </c>
      <c r="H131">
        <f t="shared" si="6"/>
        <v>1</v>
      </c>
    </row>
    <row r="132" spans="1:8" x14ac:dyDescent="0.25">
      <c r="A132" t="s">
        <v>2261</v>
      </c>
      <c r="B132" s="1">
        <v>44352</v>
      </c>
      <c r="C132" s="1">
        <v>44418</v>
      </c>
      <c r="D132" s="1">
        <v>44454</v>
      </c>
      <c r="E132">
        <v>56446.96</v>
      </c>
      <c r="F132">
        <f t="shared" si="7"/>
        <v>2021</v>
      </c>
      <c r="G132">
        <f t="shared" si="8"/>
        <v>2021</v>
      </c>
      <c r="H132">
        <f t="shared" si="6"/>
        <v>0</v>
      </c>
    </row>
    <row r="133" spans="1:8" x14ac:dyDescent="0.25">
      <c r="A133" t="s">
        <v>2262</v>
      </c>
      <c r="B133" s="1">
        <v>45537</v>
      </c>
      <c r="C133" s="1">
        <v>45586</v>
      </c>
      <c r="D133" s="1">
        <v>45758</v>
      </c>
      <c r="E133">
        <v>74731.63</v>
      </c>
      <c r="F133">
        <f t="shared" si="7"/>
        <v>2024</v>
      </c>
      <c r="G133">
        <f t="shared" si="8"/>
        <v>2025</v>
      </c>
      <c r="H133">
        <f t="shared" si="6"/>
        <v>1</v>
      </c>
    </row>
    <row r="134" spans="1:8" x14ac:dyDescent="0.25">
      <c r="A134" t="s">
        <v>2263</v>
      </c>
      <c r="B134" s="1">
        <v>45346</v>
      </c>
      <c r="C134" s="1">
        <v>45405</v>
      </c>
      <c r="D134" s="1">
        <v>45529</v>
      </c>
      <c r="E134">
        <v>36231.440000000002</v>
      </c>
      <c r="F134">
        <f t="shared" si="7"/>
        <v>2024</v>
      </c>
      <c r="G134">
        <f t="shared" si="8"/>
        <v>2024</v>
      </c>
      <c r="H134">
        <f t="shared" si="6"/>
        <v>0</v>
      </c>
    </row>
    <row r="135" spans="1:8" x14ac:dyDescent="0.25">
      <c r="A135" t="s">
        <v>2264</v>
      </c>
      <c r="B135" s="1">
        <v>44792</v>
      </c>
      <c r="C135" s="1">
        <v>44812</v>
      </c>
      <c r="D135" s="1">
        <v>45163</v>
      </c>
      <c r="E135">
        <v>20694.82</v>
      </c>
      <c r="F135">
        <f t="shared" si="7"/>
        <v>2022</v>
      </c>
      <c r="G135">
        <f t="shared" si="8"/>
        <v>2023</v>
      </c>
      <c r="H135">
        <f t="shared" si="6"/>
        <v>1</v>
      </c>
    </row>
    <row r="136" spans="1:8" x14ac:dyDescent="0.25">
      <c r="A136" t="s">
        <v>2265</v>
      </c>
      <c r="B136" s="1">
        <v>44725</v>
      </c>
      <c r="C136" s="1">
        <v>44784</v>
      </c>
      <c r="D136" s="1">
        <v>44985</v>
      </c>
      <c r="E136">
        <v>3871.49</v>
      </c>
      <c r="F136">
        <f t="shared" si="7"/>
        <v>2022</v>
      </c>
      <c r="G136">
        <f t="shared" si="8"/>
        <v>2023</v>
      </c>
      <c r="H136">
        <f t="shared" si="6"/>
        <v>1</v>
      </c>
    </row>
    <row r="137" spans="1:8" x14ac:dyDescent="0.25">
      <c r="A137" t="s">
        <v>2266</v>
      </c>
      <c r="B137" s="1">
        <v>45150</v>
      </c>
      <c r="C137" s="1">
        <v>45184</v>
      </c>
      <c r="D137" s="1">
        <v>45371</v>
      </c>
      <c r="E137">
        <v>35291.14</v>
      </c>
      <c r="F137">
        <f t="shared" si="7"/>
        <v>2023</v>
      </c>
      <c r="G137">
        <f t="shared" si="8"/>
        <v>2024</v>
      </c>
      <c r="H137">
        <f t="shared" si="6"/>
        <v>1</v>
      </c>
    </row>
    <row r="138" spans="1:8" x14ac:dyDescent="0.25">
      <c r="A138" t="s">
        <v>2210</v>
      </c>
      <c r="B138" s="1">
        <v>44510</v>
      </c>
      <c r="C138" s="1">
        <v>44590</v>
      </c>
      <c r="D138" s="1">
        <v>45074</v>
      </c>
      <c r="E138">
        <v>16203.68</v>
      </c>
      <c r="F138">
        <f t="shared" si="7"/>
        <v>2021</v>
      </c>
      <c r="G138">
        <f t="shared" si="8"/>
        <v>2023</v>
      </c>
      <c r="H138">
        <f t="shared" si="6"/>
        <v>2</v>
      </c>
    </row>
    <row r="139" spans="1:8" x14ac:dyDescent="0.25">
      <c r="A139" t="s">
        <v>2267</v>
      </c>
      <c r="B139" s="1">
        <v>45051</v>
      </c>
      <c r="C139" s="1">
        <v>45139</v>
      </c>
      <c r="D139" s="1">
        <v>45171</v>
      </c>
      <c r="E139">
        <v>23551.65</v>
      </c>
      <c r="F139">
        <f t="shared" si="7"/>
        <v>2023</v>
      </c>
      <c r="G139">
        <f t="shared" si="8"/>
        <v>2023</v>
      </c>
      <c r="H139">
        <f t="shared" si="6"/>
        <v>0</v>
      </c>
    </row>
    <row r="140" spans="1:8" x14ac:dyDescent="0.25">
      <c r="A140" t="s">
        <v>2268</v>
      </c>
      <c r="B140" s="1">
        <v>43832</v>
      </c>
      <c r="C140" s="1">
        <v>43882</v>
      </c>
      <c r="D140" s="1">
        <v>44192</v>
      </c>
      <c r="E140">
        <v>9416.9500000000007</v>
      </c>
      <c r="F140">
        <f t="shared" si="7"/>
        <v>2020</v>
      </c>
      <c r="G140">
        <f t="shared" si="8"/>
        <v>2020</v>
      </c>
      <c r="H140">
        <f t="shared" si="6"/>
        <v>0</v>
      </c>
    </row>
    <row r="141" spans="1:8" x14ac:dyDescent="0.25">
      <c r="A141" t="s">
        <v>2269</v>
      </c>
      <c r="B141" s="1">
        <v>45205</v>
      </c>
      <c r="C141" s="1">
        <v>45244</v>
      </c>
      <c r="D141" s="1">
        <v>45495</v>
      </c>
      <c r="E141">
        <v>22251.21</v>
      </c>
      <c r="F141">
        <f t="shared" si="7"/>
        <v>2023</v>
      </c>
      <c r="G141">
        <f t="shared" si="8"/>
        <v>2024</v>
      </c>
      <c r="H141">
        <f t="shared" si="6"/>
        <v>1</v>
      </c>
    </row>
    <row r="142" spans="1:8" x14ac:dyDescent="0.25">
      <c r="A142" t="s">
        <v>2270</v>
      </c>
      <c r="B142" s="1">
        <v>43883</v>
      </c>
      <c r="C142" s="1">
        <v>43902</v>
      </c>
      <c r="D142" s="1">
        <v>44102</v>
      </c>
      <c r="E142">
        <v>13681.65</v>
      </c>
      <c r="F142">
        <f t="shared" si="7"/>
        <v>2020</v>
      </c>
      <c r="G142">
        <f t="shared" si="8"/>
        <v>2020</v>
      </c>
      <c r="H142">
        <f t="shared" si="6"/>
        <v>0</v>
      </c>
    </row>
    <row r="143" spans="1:8" x14ac:dyDescent="0.25">
      <c r="A143" t="s">
        <v>2271</v>
      </c>
      <c r="B143" s="1">
        <v>44715</v>
      </c>
      <c r="C143" s="1">
        <v>44801</v>
      </c>
      <c r="D143" s="1">
        <v>44883</v>
      </c>
      <c r="E143">
        <v>5456.28</v>
      </c>
      <c r="F143">
        <f t="shared" si="7"/>
        <v>2022</v>
      </c>
      <c r="G143">
        <f t="shared" si="8"/>
        <v>2022</v>
      </c>
      <c r="H143">
        <f t="shared" si="6"/>
        <v>0</v>
      </c>
    </row>
    <row r="144" spans="1:8" x14ac:dyDescent="0.25">
      <c r="A144" t="s">
        <v>2272</v>
      </c>
      <c r="B144" s="1">
        <v>45500</v>
      </c>
      <c r="C144" s="1">
        <v>45551</v>
      </c>
      <c r="D144" s="1">
        <v>45732</v>
      </c>
      <c r="E144">
        <v>8617.01</v>
      </c>
      <c r="F144">
        <f t="shared" si="7"/>
        <v>2024</v>
      </c>
      <c r="G144">
        <f t="shared" si="8"/>
        <v>2025</v>
      </c>
      <c r="H144">
        <f t="shared" si="6"/>
        <v>1</v>
      </c>
    </row>
    <row r="145" spans="1:8" x14ac:dyDescent="0.25">
      <c r="A145" t="s">
        <v>2273</v>
      </c>
      <c r="B145" s="1">
        <v>44783</v>
      </c>
      <c r="C145" s="1">
        <v>44872</v>
      </c>
      <c r="D145" s="1">
        <v>44976</v>
      </c>
      <c r="E145">
        <v>80284.83</v>
      </c>
      <c r="F145">
        <f t="shared" si="7"/>
        <v>2022</v>
      </c>
      <c r="G145">
        <f t="shared" si="8"/>
        <v>2023</v>
      </c>
      <c r="H145">
        <f t="shared" si="6"/>
        <v>1</v>
      </c>
    </row>
    <row r="146" spans="1:8" x14ac:dyDescent="0.25">
      <c r="A146" t="s">
        <v>2193</v>
      </c>
      <c r="B146" s="1">
        <v>44452</v>
      </c>
      <c r="C146" s="1">
        <v>44510</v>
      </c>
      <c r="D146" s="1">
        <v>44789</v>
      </c>
      <c r="E146">
        <v>78082.36</v>
      </c>
      <c r="F146">
        <f t="shared" si="7"/>
        <v>2021</v>
      </c>
      <c r="G146">
        <f t="shared" si="8"/>
        <v>2022</v>
      </c>
      <c r="H146">
        <f t="shared" si="6"/>
        <v>1</v>
      </c>
    </row>
    <row r="147" spans="1:8" x14ac:dyDescent="0.25">
      <c r="A147" t="s">
        <v>2274</v>
      </c>
      <c r="B147" s="1">
        <v>44566</v>
      </c>
      <c r="C147" s="1">
        <v>44602</v>
      </c>
      <c r="D147" s="1">
        <v>44793</v>
      </c>
      <c r="E147">
        <v>66298.42</v>
      </c>
      <c r="F147">
        <f t="shared" si="7"/>
        <v>2022</v>
      </c>
      <c r="G147">
        <f t="shared" si="8"/>
        <v>2022</v>
      </c>
      <c r="H147">
        <f t="shared" si="6"/>
        <v>0</v>
      </c>
    </row>
    <row r="148" spans="1:8" x14ac:dyDescent="0.25">
      <c r="A148" t="s">
        <v>2275</v>
      </c>
      <c r="B148" s="1">
        <v>45571</v>
      </c>
      <c r="C148" s="1">
        <v>45652</v>
      </c>
      <c r="D148" s="1">
        <v>45732</v>
      </c>
      <c r="E148">
        <v>53397.23</v>
      </c>
      <c r="F148">
        <f t="shared" si="7"/>
        <v>2024</v>
      </c>
      <c r="G148">
        <f t="shared" si="8"/>
        <v>2025</v>
      </c>
      <c r="H148">
        <f t="shared" si="6"/>
        <v>1</v>
      </c>
    </row>
    <row r="149" spans="1:8" x14ac:dyDescent="0.25">
      <c r="A149" t="s">
        <v>2276</v>
      </c>
      <c r="B149" s="1">
        <v>44825</v>
      </c>
      <c r="C149" s="1">
        <v>44902</v>
      </c>
      <c r="D149" s="1">
        <v>44952</v>
      </c>
      <c r="E149">
        <v>52854.54</v>
      </c>
      <c r="F149">
        <f t="shared" si="7"/>
        <v>2022</v>
      </c>
      <c r="G149">
        <f t="shared" si="8"/>
        <v>2023</v>
      </c>
      <c r="H149">
        <f t="shared" si="6"/>
        <v>1</v>
      </c>
    </row>
    <row r="150" spans="1:8" x14ac:dyDescent="0.25">
      <c r="A150" t="s">
        <v>2277</v>
      </c>
      <c r="B150" s="1">
        <v>43881</v>
      </c>
      <c r="C150" s="1">
        <v>43941</v>
      </c>
      <c r="D150" s="1">
        <v>44139</v>
      </c>
      <c r="E150">
        <v>-18997.849999999999</v>
      </c>
      <c r="F150">
        <f t="shared" si="7"/>
        <v>2020</v>
      </c>
      <c r="G150">
        <f t="shared" si="8"/>
        <v>2020</v>
      </c>
      <c r="H150">
        <f t="shared" si="6"/>
        <v>0</v>
      </c>
    </row>
    <row r="151" spans="1:8" x14ac:dyDescent="0.25">
      <c r="A151" t="s">
        <v>2278</v>
      </c>
      <c r="B151" s="1">
        <v>45342</v>
      </c>
      <c r="C151" s="1">
        <v>45431</v>
      </c>
      <c r="D151" s="1">
        <v>45634</v>
      </c>
      <c r="E151">
        <v>47557.62</v>
      </c>
      <c r="F151">
        <f t="shared" si="7"/>
        <v>2024</v>
      </c>
      <c r="G151">
        <f t="shared" si="8"/>
        <v>2024</v>
      </c>
      <c r="H151">
        <f t="shared" si="6"/>
        <v>0</v>
      </c>
    </row>
    <row r="152" spans="1:8" x14ac:dyDescent="0.25">
      <c r="A152" t="s">
        <v>2250</v>
      </c>
      <c r="B152" s="1">
        <v>43958</v>
      </c>
      <c r="C152" s="1">
        <v>44030</v>
      </c>
      <c r="D152" s="1">
        <v>44433</v>
      </c>
      <c r="E152">
        <v>64228.56</v>
      </c>
      <c r="F152">
        <f t="shared" si="7"/>
        <v>2020</v>
      </c>
      <c r="G152">
        <f t="shared" si="8"/>
        <v>2021</v>
      </c>
      <c r="H152">
        <f t="shared" si="6"/>
        <v>1</v>
      </c>
    </row>
    <row r="153" spans="1:8" x14ac:dyDescent="0.25">
      <c r="A153" t="s">
        <v>2279</v>
      </c>
      <c r="B153" s="1">
        <v>44270</v>
      </c>
      <c r="C153" s="1">
        <v>44347</v>
      </c>
      <c r="D153" s="1">
        <v>44621</v>
      </c>
      <c r="E153">
        <v>77456.34</v>
      </c>
      <c r="F153">
        <f t="shared" si="7"/>
        <v>2021</v>
      </c>
      <c r="G153">
        <f t="shared" si="8"/>
        <v>2022</v>
      </c>
      <c r="H153">
        <f t="shared" si="6"/>
        <v>1</v>
      </c>
    </row>
    <row r="154" spans="1:8" x14ac:dyDescent="0.25">
      <c r="A154" t="s">
        <v>2280</v>
      </c>
      <c r="B154" s="1">
        <v>44387</v>
      </c>
      <c r="C154" s="1">
        <v>44414</v>
      </c>
      <c r="D154" s="1">
        <v>44939</v>
      </c>
      <c r="E154">
        <v>78607.28</v>
      </c>
      <c r="F154">
        <f t="shared" si="7"/>
        <v>2021</v>
      </c>
      <c r="G154">
        <f t="shared" si="8"/>
        <v>2023</v>
      </c>
      <c r="H154">
        <f t="shared" si="6"/>
        <v>2</v>
      </c>
    </row>
    <row r="155" spans="1:8" x14ac:dyDescent="0.25">
      <c r="A155" t="s">
        <v>2281</v>
      </c>
      <c r="B155" s="1">
        <v>43852</v>
      </c>
      <c r="C155" s="1">
        <v>43900</v>
      </c>
      <c r="D155" s="1">
        <v>44098</v>
      </c>
      <c r="E155">
        <v>46447.76</v>
      </c>
      <c r="F155">
        <f t="shared" si="7"/>
        <v>2020</v>
      </c>
      <c r="G155">
        <f t="shared" si="8"/>
        <v>2020</v>
      </c>
      <c r="H155">
        <f t="shared" si="6"/>
        <v>0</v>
      </c>
    </row>
    <row r="156" spans="1:8" x14ac:dyDescent="0.25">
      <c r="A156" t="s">
        <v>2282</v>
      </c>
      <c r="B156" s="1">
        <v>44418</v>
      </c>
      <c r="C156" s="1">
        <v>44459</v>
      </c>
      <c r="D156" s="1">
        <v>44666</v>
      </c>
      <c r="E156">
        <v>2865.1</v>
      </c>
      <c r="F156">
        <f t="shared" si="7"/>
        <v>2021</v>
      </c>
      <c r="G156">
        <f t="shared" si="8"/>
        <v>2022</v>
      </c>
      <c r="H156">
        <f t="shared" si="6"/>
        <v>1</v>
      </c>
    </row>
    <row r="157" spans="1:8" x14ac:dyDescent="0.25">
      <c r="A157" t="s">
        <v>2283</v>
      </c>
      <c r="B157" s="1">
        <v>43843</v>
      </c>
      <c r="C157" s="1">
        <v>43896</v>
      </c>
      <c r="D157" s="1">
        <v>44031</v>
      </c>
      <c r="E157">
        <v>34514.21</v>
      </c>
      <c r="F157">
        <f t="shared" si="7"/>
        <v>2020</v>
      </c>
      <c r="G157">
        <f t="shared" si="8"/>
        <v>2020</v>
      </c>
      <c r="H157">
        <f t="shared" si="6"/>
        <v>0</v>
      </c>
    </row>
    <row r="158" spans="1:8" x14ac:dyDescent="0.25">
      <c r="A158" t="s">
        <v>2284</v>
      </c>
      <c r="B158" s="1">
        <v>45498</v>
      </c>
      <c r="C158" s="1">
        <v>45525</v>
      </c>
      <c r="D158" s="1">
        <v>45594</v>
      </c>
      <c r="E158">
        <v>8978.64</v>
      </c>
      <c r="F158">
        <f t="shared" si="7"/>
        <v>2024</v>
      </c>
      <c r="G158">
        <f t="shared" si="8"/>
        <v>2024</v>
      </c>
      <c r="H158">
        <f t="shared" si="6"/>
        <v>0</v>
      </c>
    </row>
    <row r="159" spans="1:8" x14ac:dyDescent="0.25">
      <c r="A159" t="s">
        <v>2285</v>
      </c>
      <c r="B159" s="1">
        <v>44857</v>
      </c>
      <c r="C159" s="1">
        <v>44908</v>
      </c>
      <c r="D159" s="1">
        <v>45123</v>
      </c>
      <c r="E159">
        <v>42860.21</v>
      </c>
      <c r="F159">
        <f t="shared" si="7"/>
        <v>2022</v>
      </c>
      <c r="G159">
        <f t="shared" si="8"/>
        <v>2023</v>
      </c>
      <c r="H159">
        <f t="shared" si="6"/>
        <v>1</v>
      </c>
    </row>
    <row r="160" spans="1:8" x14ac:dyDescent="0.25">
      <c r="A160" t="s">
        <v>2286</v>
      </c>
      <c r="B160" s="1">
        <v>45110</v>
      </c>
      <c r="C160" s="1">
        <v>45118</v>
      </c>
      <c r="D160" s="1">
        <v>45520</v>
      </c>
      <c r="E160">
        <v>18611.990000000002</v>
      </c>
      <c r="F160">
        <f t="shared" si="7"/>
        <v>2023</v>
      </c>
      <c r="G160">
        <f t="shared" si="8"/>
        <v>2024</v>
      </c>
      <c r="H160">
        <f t="shared" si="6"/>
        <v>1</v>
      </c>
    </row>
    <row r="161" spans="1:8" x14ac:dyDescent="0.25">
      <c r="A161" t="s">
        <v>2236</v>
      </c>
      <c r="B161" s="1">
        <v>45218</v>
      </c>
      <c r="C161" s="1">
        <v>45266</v>
      </c>
      <c r="D161" s="1">
        <v>45406</v>
      </c>
      <c r="E161">
        <v>79226.41</v>
      </c>
      <c r="F161">
        <f t="shared" si="7"/>
        <v>2023</v>
      </c>
      <c r="G161">
        <f t="shared" si="8"/>
        <v>2024</v>
      </c>
      <c r="H161">
        <f t="shared" si="6"/>
        <v>1</v>
      </c>
    </row>
    <row r="162" spans="1:8" x14ac:dyDescent="0.25">
      <c r="A162" t="s">
        <v>2287</v>
      </c>
      <c r="B162" s="1">
        <v>43941</v>
      </c>
      <c r="C162" s="1">
        <v>43976</v>
      </c>
      <c r="D162" s="1">
        <v>44764</v>
      </c>
      <c r="E162">
        <v>29728.32</v>
      </c>
      <c r="F162">
        <f t="shared" si="7"/>
        <v>2020</v>
      </c>
      <c r="G162">
        <f t="shared" si="8"/>
        <v>2022</v>
      </c>
      <c r="H162">
        <f t="shared" si="6"/>
        <v>2</v>
      </c>
    </row>
    <row r="163" spans="1:8" x14ac:dyDescent="0.25">
      <c r="A163" t="s">
        <v>2288</v>
      </c>
      <c r="B163" s="1">
        <v>44699</v>
      </c>
      <c r="C163" s="1">
        <v>44717</v>
      </c>
      <c r="D163" s="1">
        <v>44808</v>
      </c>
      <c r="E163">
        <v>11413.08</v>
      </c>
      <c r="F163">
        <f t="shared" si="7"/>
        <v>2022</v>
      </c>
      <c r="G163">
        <f t="shared" si="8"/>
        <v>2022</v>
      </c>
      <c r="H163">
        <f t="shared" si="6"/>
        <v>0</v>
      </c>
    </row>
    <row r="164" spans="1:8" x14ac:dyDescent="0.25">
      <c r="A164" t="s">
        <v>2289</v>
      </c>
      <c r="B164" s="1">
        <v>45421</v>
      </c>
      <c r="C164" s="1">
        <v>45486</v>
      </c>
      <c r="D164" s="1">
        <v>45648</v>
      </c>
      <c r="E164">
        <v>51434.41</v>
      </c>
      <c r="F164">
        <f t="shared" si="7"/>
        <v>2024</v>
      </c>
      <c r="G164">
        <f t="shared" si="8"/>
        <v>2024</v>
      </c>
      <c r="H164">
        <f t="shared" si="6"/>
        <v>0</v>
      </c>
    </row>
    <row r="165" spans="1:8" x14ac:dyDescent="0.25">
      <c r="A165" t="s">
        <v>2290</v>
      </c>
      <c r="B165" s="1">
        <v>44140</v>
      </c>
      <c r="C165" s="1">
        <v>44144</v>
      </c>
      <c r="D165" s="1">
        <v>44428</v>
      </c>
      <c r="E165">
        <v>18620.96</v>
      </c>
      <c r="F165">
        <f t="shared" si="7"/>
        <v>2020</v>
      </c>
      <c r="G165">
        <f t="shared" si="8"/>
        <v>2021</v>
      </c>
      <c r="H165">
        <f t="shared" si="6"/>
        <v>1</v>
      </c>
    </row>
    <row r="166" spans="1:8" x14ac:dyDescent="0.25">
      <c r="A166" t="s">
        <v>2291</v>
      </c>
      <c r="B166" s="1">
        <v>45416</v>
      </c>
      <c r="C166" s="1">
        <v>45440</v>
      </c>
      <c r="D166" s="1">
        <v>45578</v>
      </c>
      <c r="E166">
        <v>41660.980000000003</v>
      </c>
      <c r="F166">
        <f t="shared" si="7"/>
        <v>2024</v>
      </c>
      <c r="G166">
        <f t="shared" si="8"/>
        <v>2024</v>
      </c>
      <c r="H166">
        <f t="shared" si="6"/>
        <v>0</v>
      </c>
    </row>
    <row r="167" spans="1:8" x14ac:dyDescent="0.25">
      <c r="A167" t="s">
        <v>2292</v>
      </c>
      <c r="B167" s="1">
        <v>45065</v>
      </c>
      <c r="C167" s="1">
        <v>45153</v>
      </c>
      <c r="D167" s="1">
        <v>45573</v>
      </c>
      <c r="E167">
        <v>4063.87</v>
      </c>
      <c r="F167">
        <f t="shared" si="7"/>
        <v>2023</v>
      </c>
      <c r="G167">
        <f t="shared" si="8"/>
        <v>2024</v>
      </c>
      <c r="H167">
        <f t="shared" si="6"/>
        <v>1</v>
      </c>
    </row>
    <row r="168" spans="1:8" x14ac:dyDescent="0.25">
      <c r="A168" t="s">
        <v>2293</v>
      </c>
      <c r="B168" s="1">
        <v>45567</v>
      </c>
      <c r="C168" s="1">
        <v>45612</v>
      </c>
      <c r="D168" s="1">
        <v>45652</v>
      </c>
      <c r="E168">
        <v>78385.83</v>
      </c>
      <c r="F168">
        <f t="shared" si="7"/>
        <v>2024</v>
      </c>
      <c r="G168">
        <f t="shared" si="8"/>
        <v>2024</v>
      </c>
      <c r="H168">
        <f t="shared" si="6"/>
        <v>0</v>
      </c>
    </row>
    <row r="169" spans="1:8" x14ac:dyDescent="0.25">
      <c r="A169" t="s">
        <v>2294</v>
      </c>
      <c r="B169" s="1">
        <v>45402</v>
      </c>
      <c r="C169" s="1">
        <v>45442</v>
      </c>
      <c r="D169" s="1">
        <v>45667</v>
      </c>
      <c r="E169">
        <v>78198.61</v>
      </c>
      <c r="F169">
        <f t="shared" si="7"/>
        <v>2024</v>
      </c>
      <c r="G169">
        <f t="shared" si="8"/>
        <v>2025</v>
      </c>
      <c r="H169">
        <f t="shared" si="6"/>
        <v>1</v>
      </c>
    </row>
    <row r="170" spans="1:8" x14ac:dyDescent="0.25">
      <c r="A170" t="s">
        <v>2295</v>
      </c>
      <c r="B170" s="1">
        <v>45371</v>
      </c>
      <c r="C170" s="1">
        <v>45375</v>
      </c>
      <c r="D170" s="1">
        <v>45517</v>
      </c>
      <c r="E170">
        <v>25326.53</v>
      </c>
      <c r="F170">
        <f t="shared" si="7"/>
        <v>2024</v>
      </c>
      <c r="G170">
        <f t="shared" si="8"/>
        <v>2024</v>
      </c>
      <c r="H170">
        <f t="shared" si="6"/>
        <v>0</v>
      </c>
    </row>
    <row r="171" spans="1:8" x14ac:dyDescent="0.25">
      <c r="A171" t="s">
        <v>2296</v>
      </c>
      <c r="B171" s="1">
        <v>45016</v>
      </c>
      <c r="C171" s="1">
        <v>45049</v>
      </c>
      <c r="D171" s="1">
        <v>45205</v>
      </c>
      <c r="E171">
        <v>68713.56</v>
      </c>
      <c r="F171">
        <f t="shared" si="7"/>
        <v>2023</v>
      </c>
      <c r="G171">
        <f t="shared" si="8"/>
        <v>2023</v>
      </c>
      <c r="H171">
        <f t="shared" si="6"/>
        <v>0</v>
      </c>
    </row>
    <row r="172" spans="1:8" x14ac:dyDescent="0.25">
      <c r="A172" t="s">
        <v>2297</v>
      </c>
      <c r="B172" s="1">
        <v>44705</v>
      </c>
      <c r="C172" s="1">
        <v>44773</v>
      </c>
      <c r="D172" s="1">
        <v>44836</v>
      </c>
      <c r="E172">
        <v>41538.089999999997</v>
      </c>
      <c r="F172">
        <f t="shared" si="7"/>
        <v>2022</v>
      </c>
      <c r="G172">
        <f t="shared" si="8"/>
        <v>2022</v>
      </c>
      <c r="H172">
        <f t="shared" si="6"/>
        <v>0</v>
      </c>
    </row>
    <row r="173" spans="1:8" x14ac:dyDescent="0.25">
      <c r="A173" t="s">
        <v>2157</v>
      </c>
      <c r="B173" s="1">
        <v>43906</v>
      </c>
      <c r="C173" s="1">
        <v>43907</v>
      </c>
      <c r="D173" s="1">
        <v>44328</v>
      </c>
      <c r="E173">
        <v>11029.61</v>
      </c>
      <c r="F173">
        <f t="shared" si="7"/>
        <v>2020</v>
      </c>
      <c r="G173">
        <f t="shared" si="8"/>
        <v>2021</v>
      </c>
      <c r="H173">
        <f t="shared" si="6"/>
        <v>1</v>
      </c>
    </row>
    <row r="174" spans="1:8" x14ac:dyDescent="0.25">
      <c r="A174" t="s">
        <v>2298</v>
      </c>
      <c r="B174" s="1">
        <v>45153</v>
      </c>
      <c r="C174" s="1">
        <v>45165</v>
      </c>
      <c r="D174" s="1">
        <v>45325</v>
      </c>
      <c r="E174">
        <v>80339.44</v>
      </c>
      <c r="F174">
        <f t="shared" si="7"/>
        <v>2023</v>
      </c>
      <c r="G174">
        <f t="shared" si="8"/>
        <v>2024</v>
      </c>
      <c r="H174">
        <f t="shared" si="6"/>
        <v>1</v>
      </c>
    </row>
    <row r="175" spans="1:8" x14ac:dyDescent="0.25">
      <c r="A175" t="s">
        <v>2285</v>
      </c>
      <c r="B175" s="1">
        <v>44857</v>
      </c>
      <c r="C175" s="1">
        <v>44908</v>
      </c>
      <c r="D175" s="1">
        <v>44960</v>
      </c>
      <c r="E175">
        <v>62147.53</v>
      </c>
      <c r="F175">
        <f t="shared" si="7"/>
        <v>2022</v>
      </c>
      <c r="G175">
        <f t="shared" si="8"/>
        <v>2023</v>
      </c>
      <c r="H175">
        <f t="shared" si="6"/>
        <v>1</v>
      </c>
    </row>
    <row r="176" spans="1:8" x14ac:dyDescent="0.25">
      <c r="A176" t="s">
        <v>2299</v>
      </c>
      <c r="B176" s="1">
        <v>44586</v>
      </c>
      <c r="C176" s="1">
        <v>44606</v>
      </c>
      <c r="D176" s="1">
        <v>44699</v>
      </c>
      <c r="E176">
        <v>81562.2</v>
      </c>
      <c r="F176">
        <f t="shared" si="7"/>
        <v>2022</v>
      </c>
      <c r="G176">
        <f t="shared" si="8"/>
        <v>2022</v>
      </c>
      <c r="H176">
        <f t="shared" si="6"/>
        <v>0</v>
      </c>
    </row>
    <row r="177" spans="1:8" x14ac:dyDescent="0.25">
      <c r="A177" t="s">
        <v>2300</v>
      </c>
      <c r="B177" s="1">
        <v>44720</v>
      </c>
      <c r="C177" s="1">
        <v>44726</v>
      </c>
      <c r="D177" s="1">
        <v>44826</v>
      </c>
      <c r="E177">
        <v>37308.31</v>
      </c>
      <c r="F177">
        <f t="shared" si="7"/>
        <v>2022</v>
      </c>
      <c r="G177">
        <f t="shared" si="8"/>
        <v>2022</v>
      </c>
      <c r="H177">
        <f t="shared" si="6"/>
        <v>0</v>
      </c>
    </row>
    <row r="178" spans="1:8" x14ac:dyDescent="0.25">
      <c r="A178" t="s">
        <v>2301</v>
      </c>
      <c r="B178" s="1">
        <v>45095</v>
      </c>
      <c r="C178" s="1">
        <v>45144</v>
      </c>
      <c r="D178" s="1">
        <v>45218</v>
      </c>
      <c r="E178">
        <v>12087.45</v>
      </c>
      <c r="F178">
        <f t="shared" si="7"/>
        <v>2023</v>
      </c>
      <c r="G178">
        <f t="shared" si="8"/>
        <v>2023</v>
      </c>
      <c r="H178">
        <f t="shared" si="6"/>
        <v>0</v>
      </c>
    </row>
    <row r="179" spans="1:8" x14ac:dyDescent="0.25">
      <c r="A179" t="s">
        <v>2302</v>
      </c>
      <c r="B179" s="1">
        <v>44283</v>
      </c>
      <c r="C179" s="1">
        <v>44301</v>
      </c>
      <c r="D179" s="1">
        <v>44573</v>
      </c>
      <c r="E179">
        <v>-13296.38</v>
      </c>
      <c r="F179">
        <f t="shared" si="7"/>
        <v>2021</v>
      </c>
      <c r="G179">
        <f t="shared" si="8"/>
        <v>2022</v>
      </c>
      <c r="H179">
        <f t="shared" si="6"/>
        <v>1</v>
      </c>
    </row>
    <row r="180" spans="1:8" x14ac:dyDescent="0.25">
      <c r="A180" t="s">
        <v>2299</v>
      </c>
      <c r="B180" s="1">
        <v>44586</v>
      </c>
      <c r="C180" s="1">
        <v>44606</v>
      </c>
      <c r="D180" s="1">
        <v>44834</v>
      </c>
      <c r="E180">
        <v>71577.919999999998</v>
      </c>
      <c r="F180">
        <f t="shared" si="7"/>
        <v>2022</v>
      </c>
      <c r="G180">
        <f t="shared" si="8"/>
        <v>2022</v>
      </c>
      <c r="H180">
        <f t="shared" si="6"/>
        <v>0</v>
      </c>
    </row>
    <row r="181" spans="1:8" x14ac:dyDescent="0.25">
      <c r="A181" t="s">
        <v>2303</v>
      </c>
      <c r="B181" s="1">
        <v>44927</v>
      </c>
      <c r="C181" s="1">
        <v>44966</v>
      </c>
      <c r="D181" s="1">
        <v>45109</v>
      </c>
      <c r="E181">
        <v>64011.07</v>
      </c>
      <c r="F181">
        <f t="shared" si="7"/>
        <v>2023</v>
      </c>
      <c r="G181">
        <f t="shared" si="8"/>
        <v>2023</v>
      </c>
      <c r="H181">
        <f t="shared" si="6"/>
        <v>0</v>
      </c>
    </row>
    <row r="182" spans="1:8" x14ac:dyDescent="0.25">
      <c r="A182" t="s">
        <v>2304</v>
      </c>
      <c r="B182" s="1">
        <v>44756</v>
      </c>
      <c r="C182" s="1">
        <v>44829</v>
      </c>
      <c r="D182" s="1">
        <v>44957</v>
      </c>
      <c r="E182">
        <v>65292.86</v>
      </c>
      <c r="F182">
        <f t="shared" si="7"/>
        <v>2022</v>
      </c>
      <c r="G182">
        <f t="shared" si="8"/>
        <v>2023</v>
      </c>
      <c r="H182">
        <f t="shared" si="6"/>
        <v>1</v>
      </c>
    </row>
    <row r="183" spans="1:8" x14ac:dyDescent="0.25">
      <c r="A183" t="s">
        <v>2305</v>
      </c>
      <c r="B183" s="1">
        <v>44277</v>
      </c>
      <c r="C183" s="1">
        <v>44321</v>
      </c>
      <c r="D183" s="1">
        <v>44546</v>
      </c>
      <c r="E183">
        <v>81080.5</v>
      </c>
      <c r="F183">
        <f t="shared" si="7"/>
        <v>2021</v>
      </c>
      <c r="G183">
        <f t="shared" si="8"/>
        <v>2021</v>
      </c>
      <c r="H183">
        <f t="shared" si="6"/>
        <v>0</v>
      </c>
    </row>
    <row r="184" spans="1:8" x14ac:dyDescent="0.25">
      <c r="A184" t="s">
        <v>2306</v>
      </c>
      <c r="B184" s="1">
        <v>45077</v>
      </c>
      <c r="C184" s="1">
        <v>45119</v>
      </c>
      <c r="D184" s="1">
        <v>45801</v>
      </c>
      <c r="E184">
        <v>43255.77</v>
      </c>
      <c r="F184">
        <f t="shared" si="7"/>
        <v>2023</v>
      </c>
      <c r="G184">
        <f t="shared" si="8"/>
        <v>2025</v>
      </c>
      <c r="H184">
        <f t="shared" si="6"/>
        <v>2</v>
      </c>
    </row>
    <row r="185" spans="1:8" x14ac:dyDescent="0.25">
      <c r="A185" t="s">
        <v>2307</v>
      </c>
      <c r="B185" s="1">
        <v>44227</v>
      </c>
      <c r="C185" s="1">
        <v>44278</v>
      </c>
      <c r="D185" s="1">
        <v>44850</v>
      </c>
      <c r="E185">
        <v>11698.55</v>
      </c>
      <c r="F185">
        <f t="shared" si="7"/>
        <v>2021</v>
      </c>
      <c r="G185">
        <f t="shared" si="8"/>
        <v>2022</v>
      </c>
      <c r="H185">
        <f t="shared" si="6"/>
        <v>1</v>
      </c>
    </row>
    <row r="186" spans="1:8" x14ac:dyDescent="0.25">
      <c r="A186" t="s">
        <v>2308</v>
      </c>
      <c r="B186" s="1">
        <v>44367</v>
      </c>
      <c r="C186" s="1">
        <v>44450</v>
      </c>
      <c r="D186" s="1">
        <v>44588</v>
      </c>
      <c r="E186">
        <v>59559.45</v>
      </c>
      <c r="F186">
        <f t="shared" si="7"/>
        <v>2021</v>
      </c>
      <c r="G186">
        <f t="shared" si="8"/>
        <v>2022</v>
      </c>
      <c r="H186">
        <f t="shared" si="6"/>
        <v>1</v>
      </c>
    </row>
    <row r="187" spans="1:8" x14ac:dyDescent="0.25">
      <c r="A187" t="s">
        <v>2309</v>
      </c>
      <c r="B187" s="1">
        <v>44916</v>
      </c>
      <c r="C187" s="1">
        <v>44918</v>
      </c>
      <c r="D187" s="1">
        <v>45399</v>
      </c>
      <c r="E187">
        <v>77254.39</v>
      </c>
      <c r="F187">
        <f t="shared" si="7"/>
        <v>2022</v>
      </c>
      <c r="G187">
        <f t="shared" si="8"/>
        <v>2024</v>
      </c>
      <c r="H187">
        <f t="shared" si="6"/>
        <v>2</v>
      </c>
    </row>
    <row r="188" spans="1:8" x14ac:dyDescent="0.25">
      <c r="A188" t="s">
        <v>2310</v>
      </c>
      <c r="B188" s="1">
        <v>45216</v>
      </c>
      <c r="C188" s="1">
        <v>45277</v>
      </c>
      <c r="D188" s="1">
        <v>45751</v>
      </c>
      <c r="E188">
        <v>12147.43</v>
      </c>
      <c r="F188">
        <f t="shared" si="7"/>
        <v>2023</v>
      </c>
      <c r="G188">
        <f t="shared" si="8"/>
        <v>2025</v>
      </c>
      <c r="H188">
        <f t="shared" si="6"/>
        <v>2</v>
      </c>
    </row>
    <row r="189" spans="1:8" x14ac:dyDescent="0.25">
      <c r="A189" t="s">
        <v>2311</v>
      </c>
      <c r="B189" s="1">
        <v>44775</v>
      </c>
      <c r="C189" s="1">
        <v>44835</v>
      </c>
      <c r="D189" s="1">
        <v>45176</v>
      </c>
      <c r="E189">
        <v>62811.8</v>
      </c>
      <c r="F189">
        <f t="shared" si="7"/>
        <v>2022</v>
      </c>
      <c r="G189">
        <f t="shared" si="8"/>
        <v>2023</v>
      </c>
      <c r="H189">
        <f t="shared" si="6"/>
        <v>1</v>
      </c>
    </row>
    <row r="190" spans="1:8" x14ac:dyDescent="0.25">
      <c r="A190" t="s">
        <v>2312</v>
      </c>
      <c r="B190" s="1">
        <v>45413</v>
      </c>
      <c r="C190" s="1">
        <v>45446</v>
      </c>
      <c r="D190" s="1">
        <v>45712</v>
      </c>
      <c r="E190">
        <v>63118.33</v>
      </c>
      <c r="F190">
        <f t="shared" si="7"/>
        <v>2024</v>
      </c>
      <c r="G190">
        <f t="shared" si="8"/>
        <v>2025</v>
      </c>
      <c r="H190">
        <f t="shared" si="6"/>
        <v>1</v>
      </c>
    </row>
    <row r="191" spans="1:8" x14ac:dyDescent="0.25">
      <c r="A191" t="s">
        <v>2313</v>
      </c>
      <c r="B191" s="1">
        <v>44958</v>
      </c>
      <c r="C191" s="1">
        <v>44974</v>
      </c>
      <c r="D191" s="1">
        <v>45430</v>
      </c>
      <c r="E191">
        <v>61390</v>
      </c>
      <c r="F191">
        <f t="shared" si="7"/>
        <v>2023</v>
      </c>
      <c r="G191">
        <f t="shared" si="8"/>
        <v>2024</v>
      </c>
      <c r="H191">
        <f t="shared" si="6"/>
        <v>1</v>
      </c>
    </row>
    <row r="192" spans="1:8" x14ac:dyDescent="0.25">
      <c r="A192" t="s">
        <v>2314</v>
      </c>
      <c r="B192" s="1">
        <v>45019</v>
      </c>
      <c r="C192" s="1">
        <v>45101</v>
      </c>
      <c r="D192" s="1">
        <v>45135</v>
      </c>
      <c r="E192">
        <v>3542.48</v>
      </c>
      <c r="F192">
        <f t="shared" si="7"/>
        <v>2023</v>
      </c>
      <c r="G192">
        <f t="shared" si="8"/>
        <v>2023</v>
      </c>
      <c r="H192">
        <f t="shared" si="6"/>
        <v>0</v>
      </c>
    </row>
    <row r="193" spans="1:8" x14ac:dyDescent="0.25">
      <c r="A193" t="s">
        <v>2265</v>
      </c>
      <c r="B193" s="1">
        <v>44725</v>
      </c>
      <c r="C193" s="1">
        <v>44784</v>
      </c>
      <c r="D193" s="1">
        <v>44809</v>
      </c>
      <c r="E193">
        <v>-10798.3</v>
      </c>
      <c r="F193">
        <f t="shared" si="7"/>
        <v>2022</v>
      </c>
      <c r="G193">
        <f t="shared" si="8"/>
        <v>2022</v>
      </c>
      <c r="H193">
        <f t="shared" si="6"/>
        <v>0</v>
      </c>
    </row>
    <row r="194" spans="1:8" x14ac:dyDescent="0.25">
      <c r="A194" t="s">
        <v>2315</v>
      </c>
      <c r="B194" s="1">
        <v>44382</v>
      </c>
      <c r="C194" s="1">
        <v>44393</v>
      </c>
      <c r="D194" s="1">
        <v>44419</v>
      </c>
      <c r="E194">
        <v>67754.73</v>
      </c>
      <c r="F194">
        <f t="shared" si="7"/>
        <v>2021</v>
      </c>
      <c r="G194">
        <f t="shared" si="8"/>
        <v>2021</v>
      </c>
      <c r="H194">
        <f t="shared" ref="H194:H257" si="9">MAX(0,G194-F194)</f>
        <v>0</v>
      </c>
    </row>
    <row r="195" spans="1:8" x14ac:dyDescent="0.25">
      <c r="A195" t="s">
        <v>2316</v>
      </c>
      <c r="B195" s="1">
        <v>43976</v>
      </c>
      <c r="D195" s="1">
        <v>44236</v>
      </c>
      <c r="E195">
        <v>16951.52</v>
      </c>
      <c r="F195">
        <f t="shared" ref="F195:F258" si="10">YEAR(B195)</f>
        <v>2020</v>
      </c>
      <c r="G195">
        <f t="shared" ref="G195:G258" si="11">YEAR(D195)</f>
        <v>2021</v>
      </c>
      <c r="H195">
        <f t="shared" si="9"/>
        <v>1</v>
      </c>
    </row>
    <row r="196" spans="1:8" x14ac:dyDescent="0.25">
      <c r="A196" t="s">
        <v>2317</v>
      </c>
      <c r="B196" s="1">
        <v>43974</v>
      </c>
      <c r="C196" s="1">
        <v>43999</v>
      </c>
      <c r="D196" s="1">
        <v>44201</v>
      </c>
      <c r="E196">
        <v>-14643.33</v>
      </c>
      <c r="F196">
        <f t="shared" si="10"/>
        <v>2020</v>
      </c>
      <c r="G196">
        <f t="shared" si="11"/>
        <v>2021</v>
      </c>
      <c r="H196">
        <f t="shared" si="9"/>
        <v>1</v>
      </c>
    </row>
    <row r="197" spans="1:8" x14ac:dyDescent="0.25">
      <c r="A197" t="s">
        <v>2318</v>
      </c>
      <c r="B197" s="1">
        <v>44534</v>
      </c>
      <c r="C197" s="1">
        <v>44562</v>
      </c>
      <c r="D197" s="1">
        <v>44741</v>
      </c>
      <c r="E197">
        <v>23154.03</v>
      </c>
      <c r="F197">
        <f t="shared" si="10"/>
        <v>2021</v>
      </c>
      <c r="G197">
        <f t="shared" si="11"/>
        <v>2022</v>
      </c>
      <c r="H197">
        <f t="shared" si="9"/>
        <v>1</v>
      </c>
    </row>
    <row r="198" spans="1:8" x14ac:dyDescent="0.25">
      <c r="A198" t="s">
        <v>2319</v>
      </c>
      <c r="B198" s="1">
        <v>44934</v>
      </c>
      <c r="C198" s="1">
        <v>45004</v>
      </c>
      <c r="D198" s="1">
        <v>45495</v>
      </c>
      <c r="E198">
        <v>70024.59</v>
      </c>
      <c r="F198">
        <f t="shared" si="10"/>
        <v>2023</v>
      </c>
      <c r="G198">
        <f t="shared" si="11"/>
        <v>2024</v>
      </c>
      <c r="H198">
        <f t="shared" si="9"/>
        <v>1</v>
      </c>
    </row>
    <row r="199" spans="1:8" x14ac:dyDescent="0.25">
      <c r="A199" t="s">
        <v>2320</v>
      </c>
      <c r="B199" s="1">
        <v>45514</v>
      </c>
      <c r="C199" s="1">
        <v>45520</v>
      </c>
      <c r="D199" s="1">
        <v>45686</v>
      </c>
      <c r="E199">
        <v>36646.959999999999</v>
      </c>
      <c r="F199">
        <f t="shared" si="10"/>
        <v>2024</v>
      </c>
      <c r="G199">
        <f t="shared" si="11"/>
        <v>2025</v>
      </c>
      <c r="H199">
        <f t="shared" si="9"/>
        <v>1</v>
      </c>
    </row>
    <row r="200" spans="1:8" x14ac:dyDescent="0.25">
      <c r="A200" t="s">
        <v>2321</v>
      </c>
      <c r="B200" s="1">
        <v>44377</v>
      </c>
      <c r="C200" s="1">
        <v>44390</v>
      </c>
      <c r="D200" s="1">
        <v>44551</v>
      </c>
      <c r="E200">
        <v>41303.269999999997</v>
      </c>
      <c r="F200">
        <f t="shared" si="10"/>
        <v>2021</v>
      </c>
      <c r="G200">
        <f t="shared" si="11"/>
        <v>2021</v>
      </c>
      <c r="H200">
        <f t="shared" si="9"/>
        <v>0</v>
      </c>
    </row>
    <row r="201" spans="1:8" x14ac:dyDescent="0.25">
      <c r="A201" t="s">
        <v>2322</v>
      </c>
      <c r="B201" s="1">
        <v>45067</v>
      </c>
      <c r="C201" s="1">
        <v>45108</v>
      </c>
      <c r="D201" s="1">
        <v>45432</v>
      </c>
      <c r="E201">
        <v>62557.78</v>
      </c>
      <c r="F201">
        <f t="shared" si="10"/>
        <v>2023</v>
      </c>
      <c r="G201">
        <f t="shared" si="11"/>
        <v>2024</v>
      </c>
      <c r="H201">
        <f t="shared" si="9"/>
        <v>1</v>
      </c>
    </row>
    <row r="202" spans="1:8" x14ac:dyDescent="0.25">
      <c r="A202" t="s">
        <v>2323</v>
      </c>
      <c r="B202" s="1">
        <v>44653</v>
      </c>
      <c r="C202" s="1">
        <v>44688</v>
      </c>
      <c r="D202" s="1">
        <v>44836</v>
      </c>
      <c r="E202">
        <v>9763.5499999999993</v>
      </c>
      <c r="F202">
        <f t="shared" si="10"/>
        <v>2022</v>
      </c>
      <c r="G202">
        <f t="shared" si="11"/>
        <v>2022</v>
      </c>
      <c r="H202">
        <f t="shared" si="9"/>
        <v>0</v>
      </c>
    </row>
    <row r="203" spans="1:8" x14ac:dyDescent="0.25">
      <c r="A203" t="s">
        <v>2324</v>
      </c>
      <c r="B203" s="1">
        <v>44532</v>
      </c>
      <c r="C203" s="1">
        <v>44607</v>
      </c>
      <c r="D203" s="1">
        <v>44768</v>
      </c>
      <c r="E203">
        <v>81166.960000000006</v>
      </c>
      <c r="F203">
        <f t="shared" si="10"/>
        <v>2021</v>
      </c>
      <c r="G203">
        <f t="shared" si="11"/>
        <v>2022</v>
      </c>
      <c r="H203">
        <f t="shared" si="9"/>
        <v>1</v>
      </c>
    </row>
    <row r="204" spans="1:8" x14ac:dyDescent="0.25">
      <c r="A204" t="s">
        <v>2325</v>
      </c>
      <c r="B204" s="1">
        <v>44529</v>
      </c>
      <c r="C204" s="1">
        <v>44538</v>
      </c>
      <c r="D204" s="1">
        <v>44642</v>
      </c>
      <c r="E204">
        <v>32261.47</v>
      </c>
      <c r="F204">
        <f t="shared" si="10"/>
        <v>2021</v>
      </c>
      <c r="G204">
        <f t="shared" si="11"/>
        <v>2022</v>
      </c>
      <c r="H204">
        <f t="shared" si="9"/>
        <v>1</v>
      </c>
    </row>
    <row r="205" spans="1:8" x14ac:dyDescent="0.25">
      <c r="A205" t="s">
        <v>2326</v>
      </c>
      <c r="B205" s="1">
        <v>45517</v>
      </c>
      <c r="C205" s="1">
        <v>45544</v>
      </c>
      <c r="D205" s="1">
        <v>45726</v>
      </c>
      <c r="E205">
        <v>42280.3</v>
      </c>
      <c r="F205">
        <f t="shared" si="10"/>
        <v>2024</v>
      </c>
      <c r="G205">
        <f t="shared" si="11"/>
        <v>2025</v>
      </c>
      <c r="H205">
        <f t="shared" si="9"/>
        <v>1</v>
      </c>
    </row>
    <row r="206" spans="1:8" x14ac:dyDescent="0.25">
      <c r="A206" t="s">
        <v>2327</v>
      </c>
      <c r="B206" s="1">
        <v>44260</v>
      </c>
      <c r="C206" s="1">
        <v>44301</v>
      </c>
      <c r="D206" s="1">
        <v>44372</v>
      </c>
      <c r="E206">
        <v>28791.99</v>
      </c>
      <c r="F206">
        <f t="shared" si="10"/>
        <v>2021</v>
      </c>
      <c r="G206">
        <f t="shared" si="11"/>
        <v>2021</v>
      </c>
      <c r="H206">
        <f t="shared" si="9"/>
        <v>0</v>
      </c>
    </row>
    <row r="207" spans="1:8" x14ac:dyDescent="0.25">
      <c r="A207" t="s">
        <v>2281</v>
      </c>
      <c r="B207" s="1">
        <v>43852</v>
      </c>
      <c r="C207" s="1">
        <v>43900</v>
      </c>
      <c r="D207" s="1">
        <v>43942</v>
      </c>
      <c r="E207">
        <v>2291.02</v>
      </c>
      <c r="F207">
        <f t="shared" si="10"/>
        <v>2020</v>
      </c>
      <c r="G207">
        <f t="shared" si="11"/>
        <v>2020</v>
      </c>
      <c r="H207">
        <f t="shared" si="9"/>
        <v>0</v>
      </c>
    </row>
    <row r="208" spans="1:8" x14ac:dyDescent="0.25">
      <c r="A208" t="s">
        <v>2328</v>
      </c>
      <c r="B208" s="1">
        <v>44606</v>
      </c>
      <c r="C208" s="1">
        <v>44676</v>
      </c>
      <c r="D208" s="1">
        <v>44744</v>
      </c>
      <c r="E208">
        <v>25643.51</v>
      </c>
      <c r="F208">
        <f t="shared" si="10"/>
        <v>2022</v>
      </c>
      <c r="G208">
        <f t="shared" si="11"/>
        <v>2022</v>
      </c>
      <c r="H208">
        <f t="shared" si="9"/>
        <v>0</v>
      </c>
    </row>
    <row r="209" spans="1:8" x14ac:dyDescent="0.25">
      <c r="A209" t="s">
        <v>2243</v>
      </c>
      <c r="B209" s="1">
        <v>44141</v>
      </c>
      <c r="C209" s="1">
        <v>44207</v>
      </c>
      <c r="D209" s="1">
        <v>44576</v>
      </c>
      <c r="E209">
        <v>63442.55</v>
      </c>
      <c r="F209">
        <f t="shared" si="10"/>
        <v>2020</v>
      </c>
      <c r="G209">
        <f t="shared" si="11"/>
        <v>2022</v>
      </c>
      <c r="H209">
        <f t="shared" si="9"/>
        <v>2</v>
      </c>
    </row>
    <row r="210" spans="1:8" x14ac:dyDescent="0.25">
      <c r="A210" t="s">
        <v>2329</v>
      </c>
      <c r="B210" s="1">
        <v>44401</v>
      </c>
      <c r="C210" s="1">
        <v>44423</v>
      </c>
      <c r="D210" s="1">
        <v>44722</v>
      </c>
      <c r="E210">
        <v>32610.99</v>
      </c>
      <c r="F210">
        <f t="shared" si="10"/>
        <v>2021</v>
      </c>
      <c r="G210">
        <f t="shared" si="11"/>
        <v>2022</v>
      </c>
      <c r="H210">
        <f t="shared" si="9"/>
        <v>1</v>
      </c>
    </row>
    <row r="211" spans="1:8" x14ac:dyDescent="0.25">
      <c r="A211" t="s">
        <v>2330</v>
      </c>
      <c r="B211" s="1">
        <v>45083</v>
      </c>
      <c r="C211" s="1">
        <v>45157</v>
      </c>
      <c r="D211" s="1">
        <v>45226</v>
      </c>
      <c r="E211">
        <v>63304.95</v>
      </c>
      <c r="F211">
        <f t="shared" si="10"/>
        <v>2023</v>
      </c>
      <c r="G211">
        <f t="shared" si="11"/>
        <v>2023</v>
      </c>
      <c r="H211">
        <f t="shared" si="9"/>
        <v>0</v>
      </c>
    </row>
    <row r="212" spans="1:8" x14ac:dyDescent="0.25">
      <c r="A212" t="s">
        <v>2331</v>
      </c>
      <c r="B212" s="1">
        <v>44250</v>
      </c>
      <c r="C212" s="1">
        <v>44251</v>
      </c>
      <c r="D212" s="1">
        <v>44510</v>
      </c>
      <c r="E212">
        <v>48869.16</v>
      </c>
      <c r="F212">
        <f t="shared" si="10"/>
        <v>2021</v>
      </c>
      <c r="G212">
        <f t="shared" si="11"/>
        <v>2021</v>
      </c>
      <c r="H212">
        <f t="shared" si="9"/>
        <v>0</v>
      </c>
    </row>
    <row r="213" spans="1:8" x14ac:dyDescent="0.25">
      <c r="A213" t="s">
        <v>2332</v>
      </c>
      <c r="B213" s="1">
        <v>43840</v>
      </c>
      <c r="C213" s="1">
        <v>43881</v>
      </c>
      <c r="D213" s="1">
        <v>43966</v>
      </c>
      <c r="E213">
        <v>-23581.24</v>
      </c>
      <c r="F213">
        <f t="shared" si="10"/>
        <v>2020</v>
      </c>
      <c r="G213">
        <f t="shared" si="11"/>
        <v>2020</v>
      </c>
      <c r="H213">
        <f t="shared" si="9"/>
        <v>0</v>
      </c>
    </row>
    <row r="214" spans="1:8" x14ac:dyDescent="0.25">
      <c r="A214" t="s">
        <v>2333</v>
      </c>
      <c r="B214" s="1">
        <v>45024</v>
      </c>
      <c r="D214" s="1">
        <v>45143</v>
      </c>
      <c r="E214">
        <v>74194.429999999993</v>
      </c>
      <c r="F214">
        <f t="shared" si="10"/>
        <v>2023</v>
      </c>
      <c r="G214">
        <f t="shared" si="11"/>
        <v>2023</v>
      </c>
      <c r="H214">
        <f t="shared" si="9"/>
        <v>0</v>
      </c>
    </row>
    <row r="215" spans="1:8" x14ac:dyDescent="0.25">
      <c r="A215" t="s">
        <v>2334</v>
      </c>
      <c r="B215" s="1">
        <v>45344</v>
      </c>
      <c r="C215" s="1">
        <v>45391</v>
      </c>
      <c r="D215" s="1">
        <v>45526</v>
      </c>
      <c r="E215">
        <v>29075.119999999999</v>
      </c>
      <c r="F215">
        <f t="shared" si="10"/>
        <v>2024</v>
      </c>
      <c r="G215">
        <f t="shared" si="11"/>
        <v>2024</v>
      </c>
      <c r="H215">
        <f t="shared" si="9"/>
        <v>0</v>
      </c>
    </row>
    <row r="216" spans="1:8" x14ac:dyDescent="0.25">
      <c r="A216" t="s">
        <v>2307</v>
      </c>
      <c r="B216" s="1">
        <v>44227</v>
      </c>
      <c r="C216" s="1">
        <v>44278</v>
      </c>
      <c r="D216" s="1">
        <v>44665</v>
      </c>
      <c r="E216">
        <v>2787.3</v>
      </c>
      <c r="F216">
        <f t="shared" si="10"/>
        <v>2021</v>
      </c>
      <c r="G216">
        <f t="shared" si="11"/>
        <v>2022</v>
      </c>
      <c r="H216">
        <f t="shared" si="9"/>
        <v>1</v>
      </c>
    </row>
    <row r="217" spans="1:8" x14ac:dyDescent="0.25">
      <c r="A217" t="s">
        <v>2335</v>
      </c>
      <c r="B217" s="1">
        <v>45099</v>
      </c>
      <c r="C217" s="1">
        <v>45126</v>
      </c>
      <c r="D217" s="1">
        <v>45190</v>
      </c>
      <c r="E217">
        <v>66076.149999999994</v>
      </c>
      <c r="F217">
        <f t="shared" si="10"/>
        <v>2023</v>
      </c>
      <c r="G217">
        <f t="shared" si="11"/>
        <v>2023</v>
      </c>
      <c r="H217">
        <f t="shared" si="9"/>
        <v>0</v>
      </c>
    </row>
    <row r="218" spans="1:8" x14ac:dyDescent="0.25">
      <c r="A218" t="s">
        <v>2336</v>
      </c>
      <c r="B218" s="1">
        <v>45085</v>
      </c>
      <c r="C218" s="1">
        <v>45115</v>
      </c>
      <c r="D218" s="1">
        <v>45368</v>
      </c>
      <c r="E218">
        <v>12300.33</v>
      </c>
      <c r="F218">
        <f t="shared" si="10"/>
        <v>2023</v>
      </c>
      <c r="G218">
        <f t="shared" si="11"/>
        <v>2024</v>
      </c>
      <c r="H218">
        <f t="shared" si="9"/>
        <v>1</v>
      </c>
    </row>
    <row r="219" spans="1:8" x14ac:dyDescent="0.25">
      <c r="A219" t="s">
        <v>2249</v>
      </c>
      <c r="B219" s="1">
        <v>44294</v>
      </c>
      <c r="C219" s="1">
        <v>44304</v>
      </c>
      <c r="D219" s="1">
        <v>44283</v>
      </c>
      <c r="E219">
        <v>50647.06</v>
      </c>
      <c r="F219">
        <f t="shared" si="10"/>
        <v>2021</v>
      </c>
      <c r="G219">
        <f t="shared" si="11"/>
        <v>2021</v>
      </c>
      <c r="H219">
        <f t="shared" si="9"/>
        <v>0</v>
      </c>
    </row>
    <row r="220" spans="1:8" x14ac:dyDescent="0.25">
      <c r="A220" t="s">
        <v>2266</v>
      </c>
      <c r="B220" s="1">
        <v>45150</v>
      </c>
      <c r="C220" s="1">
        <v>45184</v>
      </c>
      <c r="D220" s="1">
        <v>45729</v>
      </c>
      <c r="E220">
        <v>-7822.91</v>
      </c>
      <c r="F220">
        <f t="shared" si="10"/>
        <v>2023</v>
      </c>
      <c r="G220">
        <f t="shared" si="11"/>
        <v>2025</v>
      </c>
      <c r="H220">
        <f t="shared" si="9"/>
        <v>2</v>
      </c>
    </row>
    <row r="221" spans="1:8" x14ac:dyDescent="0.25">
      <c r="A221" t="s">
        <v>2337</v>
      </c>
      <c r="B221" s="1">
        <v>45203</v>
      </c>
      <c r="C221" s="1">
        <v>45223</v>
      </c>
      <c r="D221" s="1">
        <v>45382</v>
      </c>
      <c r="E221">
        <v>74026.539999999994</v>
      </c>
      <c r="F221">
        <f t="shared" si="10"/>
        <v>2023</v>
      </c>
      <c r="G221">
        <f t="shared" si="11"/>
        <v>2024</v>
      </c>
      <c r="H221">
        <f t="shared" si="9"/>
        <v>1</v>
      </c>
    </row>
    <row r="222" spans="1:8" x14ac:dyDescent="0.25">
      <c r="A222" t="s">
        <v>2338</v>
      </c>
      <c r="B222" s="1">
        <v>44438</v>
      </c>
      <c r="C222" s="1">
        <v>44509</v>
      </c>
      <c r="D222" s="1">
        <v>45069</v>
      </c>
      <c r="E222">
        <v>40000.94</v>
      </c>
      <c r="F222">
        <f t="shared" si="10"/>
        <v>2021</v>
      </c>
      <c r="G222">
        <f t="shared" si="11"/>
        <v>2023</v>
      </c>
      <c r="H222">
        <f t="shared" si="9"/>
        <v>2</v>
      </c>
    </row>
    <row r="223" spans="1:8" x14ac:dyDescent="0.25">
      <c r="A223" t="s">
        <v>2274</v>
      </c>
      <c r="B223" s="1">
        <v>44566</v>
      </c>
      <c r="C223" s="1">
        <v>44602</v>
      </c>
      <c r="D223" s="1">
        <v>44866</v>
      </c>
      <c r="E223">
        <v>-15661.26</v>
      </c>
      <c r="F223">
        <f t="shared" si="10"/>
        <v>2022</v>
      </c>
      <c r="G223">
        <f t="shared" si="11"/>
        <v>2022</v>
      </c>
      <c r="H223">
        <f t="shared" si="9"/>
        <v>0</v>
      </c>
    </row>
    <row r="224" spans="1:8" x14ac:dyDescent="0.25">
      <c r="A224" t="s">
        <v>2339</v>
      </c>
      <c r="B224" s="1">
        <v>44241</v>
      </c>
      <c r="C224" s="1">
        <v>44272</v>
      </c>
      <c r="D224" s="1">
        <v>44638</v>
      </c>
      <c r="E224">
        <v>-19707.95</v>
      </c>
      <c r="F224">
        <f t="shared" si="10"/>
        <v>2021</v>
      </c>
      <c r="G224">
        <f t="shared" si="11"/>
        <v>2022</v>
      </c>
      <c r="H224">
        <f t="shared" si="9"/>
        <v>1</v>
      </c>
    </row>
    <row r="225" spans="1:8" x14ac:dyDescent="0.25">
      <c r="A225" t="s">
        <v>2340</v>
      </c>
      <c r="B225" s="1">
        <v>45136</v>
      </c>
      <c r="C225" s="1">
        <v>45209</v>
      </c>
      <c r="D225" s="1">
        <v>45355</v>
      </c>
      <c r="E225">
        <v>33721.620000000003</v>
      </c>
      <c r="F225">
        <f t="shared" si="10"/>
        <v>2023</v>
      </c>
      <c r="G225">
        <f t="shared" si="11"/>
        <v>2024</v>
      </c>
      <c r="H225">
        <f t="shared" si="9"/>
        <v>1</v>
      </c>
    </row>
    <row r="226" spans="1:8" x14ac:dyDescent="0.25">
      <c r="A226" t="s">
        <v>2341</v>
      </c>
      <c r="B226" s="1">
        <v>44220</v>
      </c>
      <c r="C226" s="1">
        <v>44289</v>
      </c>
      <c r="D226" s="1">
        <v>44435</v>
      </c>
      <c r="E226">
        <v>74771.95</v>
      </c>
      <c r="F226">
        <f t="shared" si="10"/>
        <v>2021</v>
      </c>
      <c r="G226">
        <f t="shared" si="11"/>
        <v>2021</v>
      </c>
      <c r="H226">
        <f t="shared" si="9"/>
        <v>0</v>
      </c>
    </row>
    <row r="227" spans="1:8" x14ac:dyDescent="0.25">
      <c r="A227" t="s">
        <v>2213</v>
      </c>
      <c r="B227" s="1">
        <v>44020</v>
      </c>
      <c r="C227" s="1">
        <v>44063</v>
      </c>
      <c r="D227" s="1">
        <v>44252</v>
      </c>
      <c r="E227">
        <v>42765.9</v>
      </c>
      <c r="F227">
        <f t="shared" si="10"/>
        <v>2020</v>
      </c>
      <c r="G227">
        <f t="shared" si="11"/>
        <v>2021</v>
      </c>
      <c r="H227">
        <f t="shared" si="9"/>
        <v>1</v>
      </c>
    </row>
    <row r="228" spans="1:8" x14ac:dyDescent="0.25">
      <c r="A228" t="s">
        <v>2342</v>
      </c>
      <c r="B228" s="1">
        <v>44964</v>
      </c>
      <c r="C228" s="1">
        <v>45029</v>
      </c>
      <c r="D228" s="1">
        <v>45566</v>
      </c>
      <c r="E228">
        <v>49350.81</v>
      </c>
      <c r="F228">
        <f t="shared" si="10"/>
        <v>2023</v>
      </c>
      <c r="G228">
        <f t="shared" si="11"/>
        <v>2024</v>
      </c>
      <c r="H228">
        <f t="shared" si="9"/>
        <v>1</v>
      </c>
    </row>
    <row r="229" spans="1:8" x14ac:dyDescent="0.25">
      <c r="A229" t="s">
        <v>2343</v>
      </c>
      <c r="B229" s="1">
        <v>44526</v>
      </c>
      <c r="D229" s="1">
        <v>44781</v>
      </c>
      <c r="E229">
        <v>11593.64</v>
      </c>
      <c r="F229">
        <f t="shared" si="10"/>
        <v>2021</v>
      </c>
      <c r="G229">
        <f t="shared" si="11"/>
        <v>2022</v>
      </c>
      <c r="H229">
        <f t="shared" si="9"/>
        <v>1</v>
      </c>
    </row>
    <row r="230" spans="1:8" x14ac:dyDescent="0.25">
      <c r="A230" t="s">
        <v>2344</v>
      </c>
      <c r="B230" s="1">
        <v>44100</v>
      </c>
      <c r="C230" s="1">
        <v>44187</v>
      </c>
      <c r="D230" s="1">
        <v>44364</v>
      </c>
      <c r="E230">
        <v>54946.79</v>
      </c>
      <c r="F230">
        <f t="shared" si="10"/>
        <v>2020</v>
      </c>
      <c r="G230">
        <f t="shared" si="11"/>
        <v>2021</v>
      </c>
      <c r="H230">
        <f t="shared" si="9"/>
        <v>1</v>
      </c>
    </row>
    <row r="231" spans="1:8" x14ac:dyDescent="0.25">
      <c r="A231" t="s">
        <v>2345</v>
      </c>
      <c r="B231" s="1">
        <v>45210</v>
      </c>
      <c r="C231" s="1">
        <v>45289</v>
      </c>
      <c r="D231" s="1">
        <v>45333</v>
      </c>
      <c r="E231">
        <v>46725.05</v>
      </c>
      <c r="F231">
        <f t="shared" si="10"/>
        <v>2023</v>
      </c>
      <c r="G231">
        <f t="shared" si="11"/>
        <v>2024</v>
      </c>
      <c r="H231">
        <f t="shared" si="9"/>
        <v>1</v>
      </c>
    </row>
    <row r="232" spans="1:8" x14ac:dyDescent="0.25">
      <c r="A232" t="s">
        <v>2346</v>
      </c>
      <c r="B232" s="1">
        <v>44138</v>
      </c>
      <c r="C232" s="1">
        <v>44216</v>
      </c>
      <c r="D232" s="1">
        <v>44473</v>
      </c>
      <c r="E232">
        <v>24355.71</v>
      </c>
      <c r="F232">
        <f t="shared" si="10"/>
        <v>2020</v>
      </c>
      <c r="G232">
        <f t="shared" si="11"/>
        <v>2021</v>
      </c>
      <c r="H232">
        <f t="shared" si="9"/>
        <v>1</v>
      </c>
    </row>
    <row r="233" spans="1:8" x14ac:dyDescent="0.25">
      <c r="A233" t="s">
        <v>2347</v>
      </c>
      <c r="B233" s="1">
        <v>45130</v>
      </c>
      <c r="C233" s="1">
        <v>45189</v>
      </c>
      <c r="D233" s="1">
        <v>45565</v>
      </c>
      <c r="E233">
        <v>45040.38</v>
      </c>
      <c r="F233">
        <f t="shared" si="10"/>
        <v>2023</v>
      </c>
      <c r="G233">
        <f t="shared" si="11"/>
        <v>2024</v>
      </c>
      <c r="H233">
        <f t="shared" si="9"/>
        <v>1</v>
      </c>
    </row>
    <row r="234" spans="1:8" x14ac:dyDescent="0.25">
      <c r="A234" t="s">
        <v>2348</v>
      </c>
      <c r="B234" s="1">
        <v>44756</v>
      </c>
      <c r="C234" s="1">
        <v>44771</v>
      </c>
      <c r="D234" s="1">
        <v>45064</v>
      </c>
      <c r="E234">
        <v>22952.48</v>
      </c>
      <c r="F234">
        <f t="shared" si="10"/>
        <v>2022</v>
      </c>
      <c r="G234">
        <f t="shared" si="11"/>
        <v>2023</v>
      </c>
      <c r="H234">
        <f t="shared" si="9"/>
        <v>1</v>
      </c>
    </row>
    <row r="235" spans="1:8" x14ac:dyDescent="0.25">
      <c r="A235" t="s">
        <v>2343</v>
      </c>
      <c r="B235" s="1">
        <v>44526</v>
      </c>
      <c r="D235" s="1">
        <v>44720</v>
      </c>
      <c r="E235">
        <v>71367.98</v>
      </c>
      <c r="F235">
        <f t="shared" si="10"/>
        <v>2021</v>
      </c>
      <c r="G235">
        <f t="shared" si="11"/>
        <v>2022</v>
      </c>
      <c r="H235">
        <f t="shared" si="9"/>
        <v>1</v>
      </c>
    </row>
    <row r="236" spans="1:8" x14ac:dyDescent="0.25">
      <c r="A236" t="s">
        <v>2349</v>
      </c>
      <c r="B236" s="1">
        <v>44395</v>
      </c>
      <c r="C236" s="1">
        <v>44426</v>
      </c>
      <c r="D236" s="1">
        <v>44583</v>
      </c>
      <c r="E236">
        <v>70363.53</v>
      </c>
      <c r="F236">
        <f t="shared" si="10"/>
        <v>2021</v>
      </c>
      <c r="G236">
        <f t="shared" si="11"/>
        <v>2022</v>
      </c>
      <c r="H236">
        <f t="shared" si="9"/>
        <v>1</v>
      </c>
    </row>
    <row r="237" spans="1:8" x14ac:dyDescent="0.25">
      <c r="A237" t="s">
        <v>2350</v>
      </c>
      <c r="B237" s="1">
        <v>44097</v>
      </c>
      <c r="C237" s="1">
        <v>44179</v>
      </c>
      <c r="D237" s="1">
        <v>44366</v>
      </c>
      <c r="E237">
        <v>10789.03</v>
      </c>
      <c r="F237">
        <f t="shared" si="10"/>
        <v>2020</v>
      </c>
      <c r="G237">
        <f t="shared" si="11"/>
        <v>2021</v>
      </c>
      <c r="H237">
        <f t="shared" si="9"/>
        <v>1</v>
      </c>
    </row>
    <row r="238" spans="1:8" x14ac:dyDescent="0.25">
      <c r="A238" t="s">
        <v>2351</v>
      </c>
      <c r="B238" s="1">
        <v>44988</v>
      </c>
      <c r="C238" s="1">
        <v>45075</v>
      </c>
      <c r="D238" s="1">
        <v>45447</v>
      </c>
      <c r="E238">
        <v>74893.320000000007</v>
      </c>
      <c r="F238">
        <f t="shared" si="10"/>
        <v>2023</v>
      </c>
      <c r="G238">
        <f t="shared" si="11"/>
        <v>2024</v>
      </c>
      <c r="H238">
        <f t="shared" si="9"/>
        <v>1</v>
      </c>
    </row>
    <row r="239" spans="1:8" x14ac:dyDescent="0.25">
      <c r="A239" t="s">
        <v>2352</v>
      </c>
      <c r="B239" s="1">
        <v>45135</v>
      </c>
      <c r="C239" s="1">
        <v>45148</v>
      </c>
      <c r="D239" s="1">
        <v>45227</v>
      </c>
      <c r="E239">
        <v>61988.09</v>
      </c>
      <c r="F239">
        <f t="shared" si="10"/>
        <v>2023</v>
      </c>
      <c r="G239">
        <f t="shared" si="11"/>
        <v>2023</v>
      </c>
      <c r="H239">
        <f t="shared" si="9"/>
        <v>0</v>
      </c>
    </row>
    <row r="240" spans="1:8" x14ac:dyDescent="0.25">
      <c r="A240" t="s">
        <v>2339</v>
      </c>
      <c r="B240" s="1">
        <v>44241</v>
      </c>
      <c r="C240" s="1">
        <v>44272</v>
      </c>
      <c r="D240" s="1">
        <v>44732</v>
      </c>
      <c r="E240">
        <v>-14425.76</v>
      </c>
      <c r="F240">
        <f t="shared" si="10"/>
        <v>2021</v>
      </c>
      <c r="G240">
        <f t="shared" si="11"/>
        <v>2022</v>
      </c>
      <c r="H240">
        <f t="shared" si="9"/>
        <v>1</v>
      </c>
    </row>
    <row r="241" spans="1:8" x14ac:dyDescent="0.25">
      <c r="A241" t="s">
        <v>2353</v>
      </c>
      <c r="B241" s="1">
        <v>45201</v>
      </c>
      <c r="D241" s="1">
        <v>45341</v>
      </c>
      <c r="E241">
        <v>4246.5200000000004</v>
      </c>
      <c r="F241">
        <f t="shared" si="10"/>
        <v>2023</v>
      </c>
      <c r="G241">
        <f t="shared" si="11"/>
        <v>2024</v>
      </c>
      <c r="H241">
        <f t="shared" si="9"/>
        <v>1</v>
      </c>
    </row>
    <row r="242" spans="1:8" x14ac:dyDescent="0.25">
      <c r="A242" t="s">
        <v>2354</v>
      </c>
      <c r="B242" s="1">
        <v>44880</v>
      </c>
      <c r="C242" s="1">
        <v>44929</v>
      </c>
      <c r="D242" s="1">
        <v>44995</v>
      </c>
      <c r="E242">
        <v>3496.83</v>
      </c>
      <c r="F242">
        <f t="shared" si="10"/>
        <v>2022</v>
      </c>
      <c r="G242">
        <f t="shared" si="11"/>
        <v>2023</v>
      </c>
      <c r="H242">
        <f t="shared" si="9"/>
        <v>1</v>
      </c>
    </row>
    <row r="243" spans="1:8" x14ac:dyDescent="0.25">
      <c r="A243" t="s">
        <v>2355</v>
      </c>
      <c r="B243" s="1">
        <v>44272</v>
      </c>
      <c r="C243" s="1">
        <v>44338</v>
      </c>
      <c r="D243" s="1">
        <v>44741</v>
      </c>
      <c r="E243">
        <v>69414.289999999994</v>
      </c>
      <c r="F243">
        <f t="shared" si="10"/>
        <v>2021</v>
      </c>
      <c r="G243">
        <f t="shared" si="11"/>
        <v>2022</v>
      </c>
      <c r="H243">
        <f t="shared" si="9"/>
        <v>1</v>
      </c>
    </row>
    <row r="244" spans="1:8" x14ac:dyDescent="0.25">
      <c r="A244" t="s">
        <v>2356</v>
      </c>
      <c r="B244" s="1">
        <v>45511</v>
      </c>
      <c r="C244" s="1">
        <v>45573</v>
      </c>
      <c r="D244" s="1">
        <v>45744</v>
      </c>
      <c r="E244">
        <v>-16088.66</v>
      </c>
      <c r="F244">
        <f t="shared" si="10"/>
        <v>2024</v>
      </c>
      <c r="G244">
        <f t="shared" si="11"/>
        <v>2025</v>
      </c>
      <c r="H244">
        <f t="shared" si="9"/>
        <v>1</v>
      </c>
    </row>
    <row r="245" spans="1:8" x14ac:dyDescent="0.25">
      <c r="A245" t="s">
        <v>2357</v>
      </c>
      <c r="B245" s="1">
        <v>45139</v>
      </c>
      <c r="C245" s="1">
        <v>45217</v>
      </c>
      <c r="D245" s="1">
        <v>45547</v>
      </c>
      <c r="E245">
        <v>-23447.88</v>
      </c>
      <c r="F245">
        <f t="shared" si="10"/>
        <v>2023</v>
      </c>
      <c r="G245">
        <f t="shared" si="11"/>
        <v>2024</v>
      </c>
      <c r="H245">
        <f t="shared" si="9"/>
        <v>1</v>
      </c>
    </row>
    <row r="246" spans="1:8" x14ac:dyDescent="0.25">
      <c r="A246" t="s">
        <v>2358</v>
      </c>
      <c r="B246" s="1">
        <v>44768</v>
      </c>
      <c r="D246" s="1">
        <v>44911</v>
      </c>
      <c r="E246">
        <v>66682.850000000006</v>
      </c>
      <c r="F246">
        <f t="shared" si="10"/>
        <v>2022</v>
      </c>
      <c r="G246">
        <f t="shared" si="11"/>
        <v>2022</v>
      </c>
      <c r="H246">
        <f t="shared" si="9"/>
        <v>0</v>
      </c>
    </row>
    <row r="247" spans="1:8" x14ac:dyDescent="0.25">
      <c r="A247" t="s">
        <v>2193</v>
      </c>
      <c r="B247" s="1">
        <v>44452</v>
      </c>
      <c r="C247" s="1">
        <v>44510</v>
      </c>
      <c r="D247" s="1">
        <v>44894</v>
      </c>
      <c r="E247">
        <v>64205.36</v>
      </c>
      <c r="F247">
        <f t="shared" si="10"/>
        <v>2021</v>
      </c>
      <c r="G247">
        <f t="shared" si="11"/>
        <v>2022</v>
      </c>
      <c r="H247">
        <f t="shared" si="9"/>
        <v>1</v>
      </c>
    </row>
    <row r="248" spans="1:8" x14ac:dyDescent="0.25">
      <c r="A248" t="s">
        <v>2298</v>
      </c>
      <c r="B248" s="1">
        <v>45153</v>
      </c>
      <c r="C248" s="1">
        <v>45165</v>
      </c>
      <c r="D248" s="1">
        <v>45557</v>
      </c>
      <c r="E248">
        <v>57277.42</v>
      </c>
      <c r="F248">
        <f t="shared" si="10"/>
        <v>2023</v>
      </c>
      <c r="G248">
        <f t="shared" si="11"/>
        <v>2024</v>
      </c>
      <c r="H248">
        <f t="shared" si="9"/>
        <v>1</v>
      </c>
    </row>
    <row r="249" spans="1:8" x14ac:dyDescent="0.25">
      <c r="A249" t="s">
        <v>2359</v>
      </c>
      <c r="B249" s="1">
        <v>45627</v>
      </c>
      <c r="C249" s="1">
        <v>45659</v>
      </c>
      <c r="D249" s="1">
        <v>45676</v>
      </c>
      <c r="E249">
        <v>62617.08</v>
      </c>
      <c r="F249">
        <f t="shared" si="10"/>
        <v>2024</v>
      </c>
      <c r="G249">
        <f t="shared" si="11"/>
        <v>2025</v>
      </c>
      <c r="H249">
        <f t="shared" si="9"/>
        <v>1</v>
      </c>
    </row>
    <row r="250" spans="1:8" x14ac:dyDescent="0.25">
      <c r="A250" t="s">
        <v>2360</v>
      </c>
      <c r="B250" s="1">
        <v>43944</v>
      </c>
      <c r="C250" s="1">
        <v>43953</v>
      </c>
      <c r="D250" s="1">
        <v>44071</v>
      </c>
      <c r="E250">
        <v>73031.78</v>
      </c>
      <c r="F250">
        <f t="shared" si="10"/>
        <v>2020</v>
      </c>
      <c r="G250">
        <f t="shared" si="11"/>
        <v>2020</v>
      </c>
      <c r="H250">
        <f t="shared" si="9"/>
        <v>0</v>
      </c>
    </row>
    <row r="251" spans="1:8" x14ac:dyDescent="0.25">
      <c r="A251" t="s">
        <v>2361</v>
      </c>
      <c r="B251" s="1">
        <v>44563</v>
      </c>
      <c r="C251" s="1">
        <v>44571</v>
      </c>
      <c r="D251" s="1">
        <v>44798</v>
      </c>
      <c r="E251">
        <v>-14422.59</v>
      </c>
      <c r="F251">
        <f t="shared" si="10"/>
        <v>2022</v>
      </c>
      <c r="G251">
        <f t="shared" si="11"/>
        <v>2022</v>
      </c>
      <c r="H251">
        <f t="shared" si="9"/>
        <v>0</v>
      </c>
    </row>
    <row r="252" spans="1:8" x14ac:dyDescent="0.25">
      <c r="A252" t="s">
        <v>2362</v>
      </c>
      <c r="B252" s="1">
        <v>44750</v>
      </c>
      <c r="C252" s="1">
        <v>44791</v>
      </c>
      <c r="D252" s="1">
        <v>45114</v>
      </c>
      <c r="E252">
        <v>77321.710000000006</v>
      </c>
      <c r="F252">
        <f t="shared" si="10"/>
        <v>2022</v>
      </c>
      <c r="G252">
        <f t="shared" si="11"/>
        <v>2023</v>
      </c>
      <c r="H252">
        <f t="shared" si="9"/>
        <v>1</v>
      </c>
    </row>
    <row r="253" spans="1:8" x14ac:dyDescent="0.25">
      <c r="A253" t="s">
        <v>2322</v>
      </c>
      <c r="B253" s="1">
        <v>45067</v>
      </c>
      <c r="C253" s="1">
        <v>45108</v>
      </c>
      <c r="D253" s="1">
        <v>45249</v>
      </c>
      <c r="E253">
        <v>75455.100000000006</v>
      </c>
      <c r="F253">
        <f t="shared" si="10"/>
        <v>2023</v>
      </c>
      <c r="G253">
        <f t="shared" si="11"/>
        <v>2023</v>
      </c>
      <c r="H253">
        <f t="shared" si="9"/>
        <v>0</v>
      </c>
    </row>
    <row r="254" spans="1:8" x14ac:dyDescent="0.25">
      <c r="A254" t="s">
        <v>2363</v>
      </c>
      <c r="B254" s="1">
        <v>44676</v>
      </c>
      <c r="C254" s="1">
        <v>44715</v>
      </c>
      <c r="D254" s="1">
        <v>44755</v>
      </c>
      <c r="E254">
        <v>53516.28</v>
      </c>
      <c r="F254">
        <f t="shared" si="10"/>
        <v>2022</v>
      </c>
      <c r="G254">
        <f t="shared" si="11"/>
        <v>2022</v>
      </c>
      <c r="H254">
        <f t="shared" si="9"/>
        <v>0</v>
      </c>
    </row>
    <row r="255" spans="1:8" x14ac:dyDescent="0.25">
      <c r="A255" t="s">
        <v>2364</v>
      </c>
      <c r="B255" s="1">
        <v>44656</v>
      </c>
      <c r="C255" s="1">
        <v>44680</v>
      </c>
      <c r="D255" s="1">
        <v>44964</v>
      </c>
      <c r="E255">
        <v>73466.080000000002</v>
      </c>
      <c r="F255">
        <f t="shared" si="10"/>
        <v>2022</v>
      </c>
      <c r="G255">
        <f t="shared" si="11"/>
        <v>2023</v>
      </c>
      <c r="H255">
        <f t="shared" si="9"/>
        <v>1</v>
      </c>
    </row>
    <row r="256" spans="1:8" x14ac:dyDescent="0.25">
      <c r="A256" t="s">
        <v>2344</v>
      </c>
      <c r="B256" s="1">
        <v>44100</v>
      </c>
      <c r="C256" s="1">
        <v>44187</v>
      </c>
      <c r="D256" s="1">
        <v>44450</v>
      </c>
      <c r="E256">
        <v>50563.07</v>
      </c>
      <c r="F256">
        <f t="shared" si="10"/>
        <v>2020</v>
      </c>
      <c r="G256">
        <f t="shared" si="11"/>
        <v>2021</v>
      </c>
      <c r="H256">
        <f t="shared" si="9"/>
        <v>1</v>
      </c>
    </row>
    <row r="257" spans="1:8" x14ac:dyDescent="0.25">
      <c r="A257" t="s">
        <v>2365</v>
      </c>
      <c r="B257" s="1">
        <v>44376</v>
      </c>
      <c r="C257" s="1">
        <v>44398</v>
      </c>
      <c r="D257" s="1">
        <v>44755</v>
      </c>
      <c r="E257">
        <v>79661.52</v>
      </c>
      <c r="F257">
        <f t="shared" si="10"/>
        <v>2021</v>
      </c>
      <c r="G257">
        <f t="shared" si="11"/>
        <v>2022</v>
      </c>
      <c r="H257">
        <f t="shared" si="9"/>
        <v>1</v>
      </c>
    </row>
    <row r="258" spans="1:8" x14ac:dyDescent="0.25">
      <c r="A258" t="s">
        <v>2366</v>
      </c>
      <c r="B258" s="1">
        <v>44164</v>
      </c>
      <c r="C258" s="1">
        <v>44248</v>
      </c>
      <c r="D258" s="1">
        <v>44319</v>
      </c>
      <c r="E258">
        <v>61386.79</v>
      </c>
      <c r="F258">
        <f t="shared" si="10"/>
        <v>2020</v>
      </c>
      <c r="G258">
        <f t="shared" si="11"/>
        <v>2021</v>
      </c>
      <c r="H258">
        <f t="shared" ref="H258:H321" si="12">MAX(0,G258-F258)</f>
        <v>1</v>
      </c>
    </row>
    <row r="259" spans="1:8" x14ac:dyDescent="0.25">
      <c r="A259" t="s">
        <v>2164</v>
      </c>
      <c r="B259" s="1">
        <v>45006</v>
      </c>
      <c r="C259" s="1">
        <v>45008</v>
      </c>
      <c r="D259" s="1">
        <v>45198</v>
      </c>
      <c r="E259">
        <v>30254.59</v>
      </c>
      <c r="F259">
        <f t="shared" ref="F259:F322" si="13">YEAR(B259)</f>
        <v>2023</v>
      </c>
      <c r="G259">
        <f t="shared" ref="G259:G322" si="14">YEAR(D259)</f>
        <v>2023</v>
      </c>
      <c r="H259">
        <f t="shared" si="12"/>
        <v>0</v>
      </c>
    </row>
    <row r="260" spans="1:8" x14ac:dyDescent="0.25">
      <c r="A260" t="s">
        <v>2367</v>
      </c>
      <c r="B260" s="1">
        <v>44469</v>
      </c>
      <c r="C260" s="1">
        <v>44504</v>
      </c>
      <c r="D260" s="1">
        <v>44797</v>
      </c>
      <c r="E260">
        <v>48097.21</v>
      </c>
      <c r="F260">
        <f t="shared" si="13"/>
        <v>2021</v>
      </c>
      <c r="G260">
        <f t="shared" si="14"/>
        <v>2022</v>
      </c>
      <c r="H260">
        <f t="shared" si="12"/>
        <v>1</v>
      </c>
    </row>
    <row r="261" spans="1:8" x14ac:dyDescent="0.25">
      <c r="A261" t="s">
        <v>2368</v>
      </c>
      <c r="B261" s="1">
        <v>44247</v>
      </c>
      <c r="C261" s="1">
        <v>44311</v>
      </c>
      <c r="D261" s="1">
        <v>44481</v>
      </c>
      <c r="E261">
        <v>-2023.74</v>
      </c>
      <c r="F261">
        <f t="shared" si="13"/>
        <v>2021</v>
      </c>
      <c r="G261">
        <f t="shared" si="14"/>
        <v>2021</v>
      </c>
      <c r="H261">
        <f t="shared" si="12"/>
        <v>0</v>
      </c>
    </row>
    <row r="262" spans="1:8" x14ac:dyDescent="0.25">
      <c r="A262" t="s">
        <v>2369</v>
      </c>
      <c r="B262" s="1">
        <v>43902</v>
      </c>
      <c r="C262" s="1">
        <v>43977</v>
      </c>
      <c r="D262" s="1">
        <v>44353</v>
      </c>
      <c r="E262">
        <v>8415.02</v>
      </c>
      <c r="F262">
        <f t="shared" si="13"/>
        <v>2020</v>
      </c>
      <c r="G262">
        <f t="shared" si="14"/>
        <v>2021</v>
      </c>
      <c r="H262">
        <f t="shared" si="12"/>
        <v>1</v>
      </c>
    </row>
    <row r="263" spans="1:8" x14ac:dyDescent="0.25">
      <c r="A263" t="s">
        <v>2370</v>
      </c>
      <c r="B263" s="1">
        <v>45098</v>
      </c>
      <c r="C263" s="1">
        <v>45178</v>
      </c>
      <c r="D263" s="1">
        <v>45268</v>
      </c>
      <c r="E263">
        <v>16191.14</v>
      </c>
      <c r="F263">
        <f t="shared" si="13"/>
        <v>2023</v>
      </c>
      <c r="G263">
        <f t="shared" si="14"/>
        <v>2023</v>
      </c>
      <c r="H263">
        <f t="shared" si="12"/>
        <v>0</v>
      </c>
    </row>
    <row r="264" spans="1:8" x14ac:dyDescent="0.25">
      <c r="A264" t="s">
        <v>2371</v>
      </c>
      <c r="B264" s="1">
        <v>44902</v>
      </c>
      <c r="C264" s="1">
        <v>44973</v>
      </c>
      <c r="D264" s="1">
        <v>45380</v>
      </c>
      <c r="E264">
        <v>79448.03</v>
      </c>
      <c r="F264">
        <f t="shared" si="13"/>
        <v>2022</v>
      </c>
      <c r="G264">
        <f t="shared" si="14"/>
        <v>2024</v>
      </c>
      <c r="H264">
        <f t="shared" si="12"/>
        <v>2</v>
      </c>
    </row>
    <row r="265" spans="1:8" x14ac:dyDescent="0.25">
      <c r="A265" t="s">
        <v>2372</v>
      </c>
      <c r="B265" s="1">
        <v>45548</v>
      </c>
      <c r="C265" s="1">
        <v>45557</v>
      </c>
      <c r="D265" s="1">
        <v>45669</v>
      </c>
      <c r="E265">
        <v>84340.68</v>
      </c>
      <c r="F265">
        <f t="shared" si="13"/>
        <v>2024</v>
      </c>
      <c r="G265">
        <f t="shared" si="14"/>
        <v>2025</v>
      </c>
      <c r="H265">
        <f t="shared" si="12"/>
        <v>1</v>
      </c>
    </row>
    <row r="266" spans="1:8" x14ac:dyDescent="0.25">
      <c r="A266" t="s">
        <v>2373</v>
      </c>
      <c r="B266" s="1">
        <v>44299</v>
      </c>
      <c r="C266" s="1">
        <v>44373</v>
      </c>
      <c r="D266" s="1">
        <v>45020</v>
      </c>
      <c r="E266">
        <v>42211.83</v>
      </c>
      <c r="F266">
        <f t="shared" si="13"/>
        <v>2021</v>
      </c>
      <c r="G266">
        <f t="shared" si="14"/>
        <v>2023</v>
      </c>
      <c r="H266">
        <f t="shared" si="12"/>
        <v>2</v>
      </c>
    </row>
    <row r="267" spans="1:8" x14ac:dyDescent="0.25">
      <c r="A267" t="s">
        <v>2374</v>
      </c>
      <c r="B267" s="1">
        <v>44914</v>
      </c>
      <c r="C267" s="1">
        <v>44952</v>
      </c>
      <c r="D267" s="1">
        <v>45230</v>
      </c>
      <c r="E267">
        <v>83040.94</v>
      </c>
      <c r="F267">
        <f t="shared" si="13"/>
        <v>2022</v>
      </c>
      <c r="G267">
        <f t="shared" si="14"/>
        <v>2023</v>
      </c>
      <c r="H267">
        <f t="shared" si="12"/>
        <v>1</v>
      </c>
    </row>
    <row r="268" spans="1:8" x14ac:dyDescent="0.25">
      <c r="A268" t="s">
        <v>2375</v>
      </c>
      <c r="B268" s="1">
        <v>45385</v>
      </c>
      <c r="C268" s="1">
        <v>45438</v>
      </c>
      <c r="D268" s="1">
        <v>45710</v>
      </c>
      <c r="E268">
        <v>68267.64</v>
      </c>
      <c r="F268">
        <f t="shared" si="13"/>
        <v>2024</v>
      </c>
      <c r="G268">
        <f t="shared" si="14"/>
        <v>2025</v>
      </c>
      <c r="H268">
        <f t="shared" si="12"/>
        <v>1</v>
      </c>
    </row>
    <row r="269" spans="1:8" x14ac:dyDescent="0.25">
      <c r="A269" t="s">
        <v>2376</v>
      </c>
      <c r="B269" s="1">
        <v>45083</v>
      </c>
      <c r="C269" s="1">
        <v>45091</v>
      </c>
      <c r="D269" s="1">
        <v>45133</v>
      </c>
      <c r="E269">
        <v>60303.13</v>
      </c>
      <c r="F269">
        <f t="shared" si="13"/>
        <v>2023</v>
      </c>
      <c r="G269">
        <f t="shared" si="14"/>
        <v>2023</v>
      </c>
      <c r="H269">
        <f t="shared" si="12"/>
        <v>0</v>
      </c>
    </row>
    <row r="270" spans="1:8" x14ac:dyDescent="0.25">
      <c r="A270" t="s">
        <v>2219</v>
      </c>
      <c r="B270" s="1">
        <v>44609</v>
      </c>
      <c r="C270" s="1">
        <v>44658</v>
      </c>
      <c r="D270" s="1">
        <v>44882</v>
      </c>
      <c r="E270">
        <v>63755.63</v>
      </c>
      <c r="F270">
        <f t="shared" si="13"/>
        <v>2022</v>
      </c>
      <c r="G270">
        <f t="shared" si="14"/>
        <v>2022</v>
      </c>
      <c r="H270">
        <f t="shared" si="12"/>
        <v>0</v>
      </c>
    </row>
    <row r="271" spans="1:8" x14ac:dyDescent="0.25">
      <c r="A271" t="s">
        <v>2377</v>
      </c>
      <c r="B271" s="1">
        <v>45120</v>
      </c>
      <c r="C271" s="1">
        <v>45137</v>
      </c>
      <c r="D271" s="1">
        <v>45293</v>
      </c>
      <c r="E271">
        <v>6052.23</v>
      </c>
      <c r="F271">
        <f t="shared" si="13"/>
        <v>2023</v>
      </c>
      <c r="G271">
        <f t="shared" si="14"/>
        <v>2024</v>
      </c>
      <c r="H271">
        <f t="shared" si="12"/>
        <v>1</v>
      </c>
    </row>
    <row r="272" spans="1:8" x14ac:dyDescent="0.25">
      <c r="A272" t="s">
        <v>2378</v>
      </c>
      <c r="B272" s="1">
        <v>45385</v>
      </c>
      <c r="C272" s="1">
        <v>45467</v>
      </c>
      <c r="D272" s="1">
        <v>45763</v>
      </c>
      <c r="E272">
        <v>13338.61</v>
      </c>
      <c r="F272">
        <f t="shared" si="13"/>
        <v>2024</v>
      </c>
      <c r="G272">
        <f t="shared" si="14"/>
        <v>2025</v>
      </c>
      <c r="H272">
        <f t="shared" si="12"/>
        <v>1</v>
      </c>
    </row>
    <row r="273" spans="1:8" x14ac:dyDescent="0.25">
      <c r="A273" t="s">
        <v>2265</v>
      </c>
      <c r="B273" s="1">
        <v>44725</v>
      </c>
      <c r="C273" s="1">
        <v>44784</v>
      </c>
      <c r="D273" s="1">
        <v>45114</v>
      </c>
      <c r="E273">
        <v>58986.14</v>
      </c>
      <c r="F273">
        <f t="shared" si="13"/>
        <v>2022</v>
      </c>
      <c r="G273">
        <f t="shared" si="14"/>
        <v>2023</v>
      </c>
      <c r="H273">
        <f t="shared" si="12"/>
        <v>1</v>
      </c>
    </row>
    <row r="274" spans="1:8" x14ac:dyDescent="0.25">
      <c r="A274" t="s">
        <v>2208</v>
      </c>
      <c r="B274" s="1">
        <v>44368</v>
      </c>
      <c r="D274" s="1">
        <v>44408</v>
      </c>
      <c r="E274">
        <v>16214.82</v>
      </c>
      <c r="F274">
        <f t="shared" si="13"/>
        <v>2021</v>
      </c>
      <c r="G274">
        <f t="shared" si="14"/>
        <v>2021</v>
      </c>
      <c r="H274">
        <f t="shared" si="12"/>
        <v>0</v>
      </c>
    </row>
    <row r="275" spans="1:8" x14ac:dyDescent="0.25">
      <c r="A275" t="s">
        <v>2379</v>
      </c>
      <c r="B275" s="1">
        <v>44593</v>
      </c>
      <c r="C275" s="1">
        <v>44664</v>
      </c>
      <c r="D275" s="1">
        <v>44768</v>
      </c>
      <c r="E275">
        <v>35286.94</v>
      </c>
      <c r="F275">
        <f t="shared" si="13"/>
        <v>2022</v>
      </c>
      <c r="G275">
        <f t="shared" si="14"/>
        <v>2022</v>
      </c>
      <c r="H275">
        <f t="shared" si="12"/>
        <v>0</v>
      </c>
    </row>
    <row r="276" spans="1:8" x14ac:dyDescent="0.25">
      <c r="A276" t="s">
        <v>2141</v>
      </c>
      <c r="B276" s="1">
        <v>45065</v>
      </c>
      <c r="C276" s="1">
        <v>45117</v>
      </c>
      <c r="D276" s="1">
        <v>45227</v>
      </c>
      <c r="E276">
        <v>69019.27</v>
      </c>
      <c r="F276">
        <f t="shared" si="13"/>
        <v>2023</v>
      </c>
      <c r="G276">
        <f t="shared" si="14"/>
        <v>2023</v>
      </c>
      <c r="H276">
        <f t="shared" si="12"/>
        <v>0</v>
      </c>
    </row>
    <row r="277" spans="1:8" x14ac:dyDescent="0.25">
      <c r="A277" t="s">
        <v>2380</v>
      </c>
      <c r="B277" s="1">
        <v>45152</v>
      </c>
      <c r="C277" s="1">
        <v>45156</v>
      </c>
      <c r="D277" s="1">
        <v>45294</v>
      </c>
      <c r="E277">
        <v>11412.63</v>
      </c>
      <c r="F277">
        <f t="shared" si="13"/>
        <v>2023</v>
      </c>
      <c r="G277">
        <f t="shared" si="14"/>
        <v>2024</v>
      </c>
      <c r="H277">
        <f t="shared" si="12"/>
        <v>1</v>
      </c>
    </row>
    <row r="278" spans="1:8" x14ac:dyDescent="0.25">
      <c r="A278" t="s">
        <v>2381</v>
      </c>
      <c r="B278" s="1">
        <v>45329</v>
      </c>
      <c r="C278" s="1">
        <v>45335</v>
      </c>
      <c r="D278" s="1">
        <v>45534</v>
      </c>
      <c r="E278">
        <v>-9053.52</v>
      </c>
      <c r="F278">
        <f t="shared" si="13"/>
        <v>2024</v>
      </c>
      <c r="G278">
        <f t="shared" si="14"/>
        <v>2024</v>
      </c>
      <c r="H278">
        <f t="shared" si="12"/>
        <v>0</v>
      </c>
    </row>
    <row r="279" spans="1:8" x14ac:dyDescent="0.25">
      <c r="A279" t="s">
        <v>2382</v>
      </c>
      <c r="B279" s="1">
        <v>44800</v>
      </c>
      <c r="C279" s="1">
        <v>44889</v>
      </c>
      <c r="D279" s="1">
        <v>44947</v>
      </c>
      <c r="E279">
        <v>49461.31</v>
      </c>
      <c r="F279">
        <f t="shared" si="13"/>
        <v>2022</v>
      </c>
      <c r="G279">
        <f t="shared" si="14"/>
        <v>2023</v>
      </c>
      <c r="H279">
        <f t="shared" si="12"/>
        <v>1</v>
      </c>
    </row>
    <row r="280" spans="1:8" x14ac:dyDescent="0.25">
      <c r="A280" t="s">
        <v>2383</v>
      </c>
      <c r="B280" s="1">
        <v>44031</v>
      </c>
      <c r="C280" s="1">
        <v>44076</v>
      </c>
      <c r="D280" s="1">
        <v>44177</v>
      </c>
      <c r="E280">
        <v>76322.039999999994</v>
      </c>
      <c r="F280">
        <f t="shared" si="13"/>
        <v>2020</v>
      </c>
      <c r="G280">
        <f t="shared" si="14"/>
        <v>2020</v>
      </c>
      <c r="H280">
        <f t="shared" si="12"/>
        <v>0</v>
      </c>
    </row>
    <row r="281" spans="1:8" x14ac:dyDescent="0.25">
      <c r="A281" t="s">
        <v>2384</v>
      </c>
      <c r="B281" s="1">
        <v>44419</v>
      </c>
      <c r="C281" s="1">
        <v>44436</v>
      </c>
      <c r="D281" s="1">
        <v>44517</v>
      </c>
      <c r="E281">
        <v>51355.19</v>
      </c>
      <c r="F281">
        <f t="shared" si="13"/>
        <v>2021</v>
      </c>
      <c r="G281">
        <f t="shared" si="14"/>
        <v>2021</v>
      </c>
      <c r="H281">
        <f t="shared" si="12"/>
        <v>0</v>
      </c>
    </row>
    <row r="282" spans="1:8" x14ac:dyDescent="0.25">
      <c r="A282" t="s">
        <v>2342</v>
      </c>
      <c r="B282" s="1">
        <v>44964</v>
      </c>
      <c r="C282" s="1">
        <v>45029</v>
      </c>
      <c r="D282" s="1">
        <v>45348</v>
      </c>
      <c r="E282">
        <v>-1831.91</v>
      </c>
      <c r="F282">
        <f t="shared" si="13"/>
        <v>2023</v>
      </c>
      <c r="G282">
        <f t="shared" si="14"/>
        <v>2024</v>
      </c>
      <c r="H282">
        <f t="shared" si="12"/>
        <v>1</v>
      </c>
    </row>
    <row r="283" spans="1:8" x14ac:dyDescent="0.25">
      <c r="A283" t="s">
        <v>2385</v>
      </c>
      <c r="B283" s="1">
        <v>44045</v>
      </c>
      <c r="D283" s="1">
        <v>44149</v>
      </c>
      <c r="E283">
        <v>67096.820000000007</v>
      </c>
      <c r="F283">
        <f t="shared" si="13"/>
        <v>2020</v>
      </c>
      <c r="G283">
        <f t="shared" si="14"/>
        <v>2020</v>
      </c>
      <c r="H283">
        <f t="shared" si="12"/>
        <v>0</v>
      </c>
    </row>
    <row r="284" spans="1:8" x14ac:dyDescent="0.25">
      <c r="A284" t="s">
        <v>2291</v>
      </c>
      <c r="B284" s="1">
        <v>45416</v>
      </c>
      <c r="C284" s="1">
        <v>45440</v>
      </c>
      <c r="D284" s="1">
        <v>45690</v>
      </c>
      <c r="E284">
        <v>-18919.150000000001</v>
      </c>
      <c r="F284">
        <f t="shared" si="13"/>
        <v>2024</v>
      </c>
      <c r="G284">
        <f t="shared" si="14"/>
        <v>2025</v>
      </c>
      <c r="H284">
        <f t="shared" si="12"/>
        <v>1</v>
      </c>
    </row>
    <row r="285" spans="1:8" x14ac:dyDescent="0.25">
      <c r="A285" t="s">
        <v>2386</v>
      </c>
      <c r="B285" s="1">
        <v>44588</v>
      </c>
      <c r="C285" s="1">
        <v>44649</v>
      </c>
      <c r="D285" s="1">
        <v>44857</v>
      </c>
      <c r="E285">
        <v>11213.7</v>
      </c>
      <c r="F285">
        <f t="shared" si="13"/>
        <v>2022</v>
      </c>
      <c r="G285">
        <f t="shared" si="14"/>
        <v>2022</v>
      </c>
      <c r="H285">
        <f t="shared" si="12"/>
        <v>0</v>
      </c>
    </row>
    <row r="286" spans="1:8" x14ac:dyDescent="0.25">
      <c r="A286" t="s">
        <v>2387</v>
      </c>
      <c r="B286" s="1">
        <v>43854</v>
      </c>
      <c r="C286" s="1">
        <v>43941</v>
      </c>
      <c r="D286" s="1">
        <v>44419</v>
      </c>
      <c r="E286">
        <v>67239.149999999994</v>
      </c>
      <c r="F286">
        <f t="shared" si="13"/>
        <v>2020</v>
      </c>
      <c r="G286">
        <f t="shared" si="14"/>
        <v>2021</v>
      </c>
      <c r="H286">
        <f t="shared" si="12"/>
        <v>1</v>
      </c>
    </row>
    <row r="287" spans="1:8" x14ac:dyDescent="0.25">
      <c r="A287" t="s">
        <v>2388</v>
      </c>
      <c r="B287" s="1">
        <v>43935</v>
      </c>
      <c r="C287" s="1">
        <v>43951</v>
      </c>
      <c r="D287" s="1">
        <v>44141</v>
      </c>
      <c r="E287">
        <v>25307.1</v>
      </c>
      <c r="F287">
        <f t="shared" si="13"/>
        <v>2020</v>
      </c>
      <c r="G287">
        <f t="shared" si="14"/>
        <v>2020</v>
      </c>
      <c r="H287">
        <f t="shared" si="12"/>
        <v>0</v>
      </c>
    </row>
    <row r="288" spans="1:8" x14ac:dyDescent="0.25">
      <c r="A288" t="s">
        <v>2389</v>
      </c>
      <c r="B288" s="1">
        <v>44214</v>
      </c>
      <c r="C288" s="1">
        <v>44226</v>
      </c>
      <c r="D288" s="1">
        <v>44359</v>
      </c>
      <c r="E288">
        <v>26488.49</v>
      </c>
      <c r="F288">
        <f t="shared" si="13"/>
        <v>2021</v>
      </c>
      <c r="G288">
        <f t="shared" si="14"/>
        <v>2021</v>
      </c>
      <c r="H288">
        <f t="shared" si="12"/>
        <v>0</v>
      </c>
    </row>
    <row r="289" spans="1:8" x14ac:dyDescent="0.25">
      <c r="A289" t="s">
        <v>2390</v>
      </c>
      <c r="B289" s="1">
        <v>44273</v>
      </c>
      <c r="C289" s="1">
        <v>44332</v>
      </c>
      <c r="D289" s="1">
        <v>44682</v>
      </c>
      <c r="E289">
        <v>-16992.77</v>
      </c>
      <c r="F289">
        <f t="shared" si="13"/>
        <v>2021</v>
      </c>
      <c r="G289">
        <f t="shared" si="14"/>
        <v>2022</v>
      </c>
      <c r="H289">
        <f t="shared" si="12"/>
        <v>1</v>
      </c>
    </row>
    <row r="290" spans="1:8" x14ac:dyDescent="0.25">
      <c r="A290" t="s">
        <v>2391</v>
      </c>
      <c r="B290" s="1">
        <v>44818</v>
      </c>
      <c r="C290" s="1">
        <v>44828</v>
      </c>
      <c r="D290" s="1">
        <v>44924</v>
      </c>
      <c r="E290">
        <v>14586.07</v>
      </c>
      <c r="F290">
        <f t="shared" si="13"/>
        <v>2022</v>
      </c>
      <c r="G290">
        <f t="shared" si="14"/>
        <v>2022</v>
      </c>
      <c r="H290">
        <f t="shared" si="12"/>
        <v>0</v>
      </c>
    </row>
    <row r="291" spans="1:8" x14ac:dyDescent="0.25">
      <c r="A291" t="s">
        <v>2392</v>
      </c>
      <c r="B291" s="1">
        <v>45220</v>
      </c>
      <c r="C291" s="1">
        <v>45271</v>
      </c>
      <c r="D291" s="1">
        <v>45377</v>
      </c>
      <c r="E291">
        <v>-17498.88</v>
      </c>
      <c r="F291">
        <f t="shared" si="13"/>
        <v>2023</v>
      </c>
      <c r="G291">
        <f t="shared" si="14"/>
        <v>2024</v>
      </c>
      <c r="H291">
        <f t="shared" si="12"/>
        <v>1</v>
      </c>
    </row>
    <row r="292" spans="1:8" x14ac:dyDescent="0.25">
      <c r="A292" t="s">
        <v>2393</v>
      </c>
      <c r="B292" s="1">
        <v>44356</v>
      </c>
      <c r="C292" s="1">
        <v>44431</v>
      </c>
      <c r="D292" s="1">
        <v>44589</v>
      </c>
      <c r="E292">
        <v>75313.72</v>
      </c>
      <c r="F292">
        <f t="shared" si="13"/>
        <v>2021</v>
      </c>
      <c r="G292">
        <f t="shared" si="14"/>
        <v>2022</v>
      </c>
      <c r="H292">
        <f t="shared" si="12"/>
        <v>1</v>
      </c>
    </row>
    <row r="293" spans="1:8" x14ac:dyDescent="0.25">
      <c r="A293" t="s">
        <v>2394</v>
      </c>
      <c r="B293" s="1">
        <v>44739</v>
      </c>
      <c r="C293" s="1">
        <v>44740</v>
      </c>
      <c r="D293" s="1">
        <v>44775</v>
      </c>
      <c r="E293">
        <v>-2636.75</v>
      </c>
      <c r="F293">
        <f t="shared" si="13"/>
        <v>2022</v>
      </c>
      <c r="G293">
        <f t="shared" si="14"/>
        <v>2022</v>
      </c>
      <c r="H293">
        <f t="shared" si="12"/>
        <v>0</v>
      </c>
    </row>
    <row r="294" spans="1:8" x14ac:dyDescent="0.25">
      <c r="A294" t="s">
        <v>2364</v>
      </c>
      <c r="B294" s="1">
        <v>44656</v>
      </c>
      <c r="C294" s="1">
        <v>44680</v>
      </c>
      <c r="D294" s="1">
        <v>44776</v>
      </c>
      <c r="E294">
        <v>-15378.65</v>
      </c>
      <c r="F294">
        <f t="shared" si="13"/>
        <v>2022</v>
      </c>
      <c r="G294">
        <f t="shared" si="14"/>
        <v>2022</v>
      </c>
      <c r="H294">
        <f t="shared" si="12"/>
        <v>0</v>
      </c>
    </row>
    <row r="295" spans="1:8" x14ac:dyDescent="0.25">
      <c r="A295" t="s">
        <v>2395</v>
      </c>
      <c r="B295" s="1">
        <v>45126</v>
      </c>
      <c r="C295" s="1">
        <v>45143</v>
      </c>
      <c r="D295" s="1">
        <v>45440</v>
      </c>
      <c r="E295">
        <v>16720.91</v>
      </c>
      <c r="F295">
        <f t="shared" si="13"/>
        <v>2023</v>
      </c>
      <c r="G295">
        <f t="shared" si="14"/>
        <v>2024</v>
      </c>
      <c r="H295">
        <f t="shared" si="12"/>
        <v>1</v>
      </c>
    </row>
    <row r="296" spans="1:8" x14ac:dyDescent="0.25">
      <c r="A296" t="s">
        <v>2353</v>
      </c>
      <c r="B296" s="1">
        <v>45201</v>
      </c>
      <c r="D296" s="1">
        <v>45705</v>
      </c>
      <c r="E296">
        <v>19150.02</v>
      </c>
      <c r="F296">
        <f t="shared" si="13"/>
        <v>2023</v>
      </c>
      <c r="G296">
        <f t="shared" si="14"/>
        <v>2025</v>
      </c>
      <c r="H296">
        <f t="shared" si="12"/>
        <v>2</v>
      </c>
    </row>
    <row r="297" spans="1:8" x14ac:dyDescent="0.25">
      <c r="A297" t="s">
        <v>2227</v>
      </c>
      <c r="B297" s="1">
        <v>44163</v>
      </c>
      <c r="C297" s="1">
        <v>44240</v>
      </c>
      <c r="D297" s="1">
        <v>44757</v>
      </c>
      <c r="E297">
        <v>33900.44</v>
      </c>
      <c r="F297">
        <f t="shared" si="13"/>
        <v>2020</v>
      </c>
      <c r="G297">
        <f t="shared" si="14"/>
        <v>2022</v>
      </c>
      <c r="H297">
        <f t="shared" si="12"/>
        <v>2</v>
      </c>
    </row>
    <row r="298" spans="1:8" x14ac:dyDescent="0.25">
      <c r="A298" t="s">
        <v>2396</v>
      </c>
      <c r="B298" s="1">
        <v>44927</v>
      </c>
      <c r="C298" s="1">
        <v>44937</v>
      </c>
      <c r="D298" s="1">
        <v>45117</v>
      </c>
      <c r="E298">
        <v>-21396.09</v>
      </c>
      <c r="F298">
        <f t="shared" si="13"/>
        <v>2023</v>
      </c>
      <c r="G298">
        <f t="shared" si="14"/>
        <v>2023</v>
      </c>
      <c r="H298">
        <f t="shared" si="12"/>
        <v>0</v>
      </c>
    </row>
    <row r="299" spans="1:8" x14ac:dyDescent="0.25">
      <c r="A299" t="s">
        <v>2368</v>
      </c>
      <c r="B299" s="1">
        <v>44247</v>
      </c>
      <c r="C299" s="1">
        <v>44311</v>
      </c>
      <c r="D299" s="1">
        <v>44621</v>
      </c>
      <c r="E299">
        <v>42932</v>
      </c>
      <c r="F299">
        <f t="shared" si="13"/>
        <v>2021</v>
      </c>
      <c r="G299">
        <f t="shared" si="14"/>
        <v>2022</v>
      </c>
      <c r="H299">
        <f t="shared" si="12"/>
        <v>1</v>
      </c>
    </row>
    <row r="300" spans="1:8" x14ac:dyDescent="0.25">
      <c r="A300" t="s">
        <v>2397</v>
      </c>
      <c r="B300" s="1">
        <v>44115</v>
      </c>
      <c r="C300" s="1">
        <v>44192</v>
      </c>
      <c r="D300" s="1">
        <v>44580</v>
      </c>
      <c r="E300">
        <v>77558.59</v>
      </c>
      <c r="F300">
        <f t="shared" si="13"/>
        <v>2020</v>
      </c>
      <c r="G300">
        <f t="shared" si="14"/>
        <v>2022</v>
      </c>
      <c r="H300">
        <f t="shared" si="12"/>
        <v>2</v>
      </c>
    </row>
    <row r="301" spans="1:8" x14ac:dyDescent="0.25">
      <c r="A301" t="s">
        <v>2221</v>
      </c>
      <c r="B301" s="1">
        <v>45422</v>
      </c>
      <c r="C301" s="1">
        <v>45478</v>
      </c>
      <c r="D301" s="1">
        <v>45590</v>
      </c>
      <c r="E301">
        <v>62315.16</v>
      </c>
      <c r="F301">
        <f t="shared" si="13"/>
        <v>2024</v>
      </c>
      <c r="G301">
        <f t="shared" si="14"/>
        <v>2024</v>
      </c>
      <c r="H301">
        <f t="shared" si="12"/>
        <v>0</v>
      </c>
    </row>
    <row r="302" spans="1:8" x14ac:dyDescent="0.25">
      <c r="A302" t="s">
        <v>2223</v>
      </c>
      <c r="B302" s="1">
        <v>45082</v>
      </c>
      <c r="D302" s="1">
        <v>45234</v>
      </c>
      <c r="E302">
        <v>48860.25</v>
      </c>
      <c r="F302">
        <f t="shared" si="13"/>
        <v>2023</v>
      </c>
      <c r="G302">
        <f t="shared" si="14"/>
        <v>2023</v>
      </c>
      <c r="H302">
        <f t="shared" si="12"/>
        <v>0</v>
      </c>
    </row>
    <row r="303" spans="1:8" x14ac:dyDescent="0.25">
      <c r="A303" t="s">
        <v>2398</v>
      </c>
      <c r="B303" s="1">
        <v>44296</v>
      </c>
      <c r="C303" s="1">
        <v>44313</v>
      </c>
      <c r="D303" s="1">
        <v>44426</v>
      </c>
      <c r="E303">
        <v>40377.480000000003</v>
      </c>
      <c r="F303">
        <f t="shared" si="13"/>
        <v>2021</v>
      </c>
      <c r="G303">
        <f t="shared" si="14"/>
        <v>2021</v>
      </c>
      <c r="H303">
        <f t="shared" si="12"/>
        <v>0</v>
      </c>
    </row>
    <row r="304" spans="1:8" x14ac:dyDescent="0.25">
      <c r="A304" t="s">
        <v>2399</v>
      </c>
      <c r="B304" s="1">
        <v>44162</v>
      </c>
      <c r="C304" s="1">
        <v>44246</v>
      </c>
      <c r="D304" s="1">
        <v>44441</v>
      </c>
      <c r="E304">
        <v>10516.25</v>
      </c>
      <c r="F304">
        <f t="shared" si="13"/>
        <v>2020</v>
      </c>
      <c r="G304">
        <f t="shared" si="14"/>
        <v>2021</v>
      </c>
      <c r="H304">
        <f t="shared" si="12"/>
        <v>1</v>
      </c>
    </row>
    <row r="305" spans="1:8" x14ac:dyDescent="0.25">
      <c r="A305" t="s">
        <v>2400</v>
      </c>
      <c r="B305" s="1">
        <v>43953</v>
      </c>
      <c r="C305" s="1">
        <v>43992</v>
      </c>
      <c r="D305" s="1">
        <v>44138</v>
      </c>
      <c r="E305">
        <v>44606.52</v>
      </c>
      <c r="F305">
        <f t="shared" si="13"/>
        <v>2020</v>
      </c>
      <c r="G305">
        <f t="shared" si="14"/>
        <v>2020</v>
      </c>
      <c r="H305">
        <f t="shared" si="12"/>
        <v>0</v>
      </c>
    </row>
    <row r="306" spans="1:8" x14ac:dyDescent="0.25">
      <c r="A306" t="s">
        <v>2401</v>
      </c>
      <c r="B306" s="1">
        <v>44102</v>
      </c>
      <c r="C306" s="1">
        <v>44178</v>
      </c>
      <c r="D306" s="1">
        <v>44264</v>
      </c>
      <c r="E306">
        <v>63962.99</v>
      </c>
      <c r="F306">
        <f t="shared" si="13"/>
        <v>2020</v>
      </c>
      <c r="G306">
        <f t="shared" si="14"/>
        <v>2021</v>
      </c>
      <c r="H306">
        <f t="shared" si="12"/>
        <v>1</v>
      </c>
    </row>
    <row r="307" spans="1:8" x14ac:dyDescent="0.25">
      <c r="A307" t="s">
        <v>2402</v>
      </c>
      <c r="B307" s="1">
        <v>44611</v>
      </c>
      <c r="C307" s="1">
        <v>44688</v>
      </c>
      <c r="D307" s="1">
        <v>44766</v>
      </c>
      <c r="E307">
        <v>81210.990000000005</v>
      </c>
      <c r="F307">
        <f t="shared" si="13"/>
        <v>2022</v>
      </c>
      <c r="G307">
        <f t="shared" si="14"/>
        <v>2022</v>
      </c>
      <c r="H307">
        <f t="shared" si="12"/>
        <v>0</v>
      </c>
    </row>
    <row r="308" spans="1:8" x14ac:dyDescent="0.25">
      <c r="A308" t="s">
        <v>2403</v>
      </c>
      <c r="B308" s="1">
        <v>43958</v>
      </c>
      <c r="C308" s="1">
        <v>43982</v>
      </c>
      <c r="D308" s="1">
        <v>44274</v>
      </c>
      <c r="E308">
        <v>83135.199999999997</v>
      </c>
      <c r="F308">
        <f t="shared" si="13"/>
        <v>2020</v>
      </c>
      <c r="G308">
        <f t="shared" si="14"/>
        <v>2021</v>
      </c>
      <c r="H308">
        <f t="shared" si="12"/>
        <v>1</v>
      </c>
    </row>
    <row r="309" spans="1:8" x14ac:dyDescent="0.25">
      <c r="A309" t="s">
        <v>2378</v>
      </c>
      <c r="B309" s="1">
        <v>45385</v>
      </c>
      <c r="C309" s="1">
        <v>45467</v>
      </c>
      <c r="D309" s="1">
        <v>45607</v>
      </c>
      <c r="E309">
        <v>71109.61</v>
      </c>
      <c r="F309">
        <f t="shared" si="13"/>
        <v>2024</v>
      </c>
      <c r="G309">
        <f t="shared" si="14"/>
        <v>2024</v>
      </c>
      <c r="H309">
        <f t="shared" si="12"/>
        <v>0</v>
      </c>
    </row>
    <row r="310" spans="1:8" x14ac:dyDescent="0.25">
      <c r="A310" t="s">
        <v>2369</v>
      </c>
      <c r="B310" s="1">
        <v>43902</v>
      </c>
      <c r="C310" s="1">
        <v>43977</v>
      </c>
      <c r="D310" s="1">
        <v>44230</v>
      </c>
      <c r="E310">
        <v>55280.3</v>
      </c>
      <c r="F310">
        <f t="shared" si="13"/>
        <v>2020</v>
      </c>
      <c r="G310">
        <f t="shared" si="14"/>
        <v>2021</v>
      </c>
      <c r="H310">
        <f t="shared" si="12"/>
        <v>1</v>
      </c>
    </row>
    <row r="311" spans="1:8" x14ac:dyDescent="0.25">
      <c r="A311" t="s">
        <v>2404</v>
      </c>
      <c r="B311" s="1">
        <v>44813</v>
      </c>
      <c r="C311" s="1">
        <v>44842</v>
      </c>
      <c r="D311" s="1">
        <v>45174</v>
      </c>
      <c r="E311">
        <v>-3040.98</v>
      </c>
      <c r="F311">
        <f t="shared" si="13"/>
        <v>2022</v>
      </c>
      <c r="G311">
        <f t="shared" si="14"/>
        <v>2023</v>
      </c>
      <c r="H311">
        <f t="shared" si="12"/>
        <v>1</v>
      </c>
    </row>
    <row r="312" spans="1:8" x14ac:dyDescent="0.25">
      <c r="A312" t="s">
        <v>2405</v>
      </c>
      <c r="B312" s="1">
        <v>44167</v>
      </c>
      <c r="C312" s="1">
        <v>44248</v>
      </c>
      <c r="D312" s="1">
        <v>44485</v>
      </c>
      <c r="E312">
        <v>36080.19</v>
      </c>
      <c r="F312">
        <f t="shared" si="13"/>
        <v>2020</v>
      </c>
      <c r="G312">
        <f t="shared" si="14"/>
        <v>2021</v>
      </c>
      <c r="H312">
        <f t="shared" si="12"/>
        <v>1</v>
      </c>
    </row>
    <row r="313" spans="1:8" x14ac:dyDescent="0.25">
      <c r="A313" t="s">
        <v>2406</v>
      </c>
      <c r="B313" s="1">
        <v>43834</v>
      </c>
      <c r="C313" s="1">
        <v>43879</v>
      </c>
      <c r="D313" s="1">
        <v>43994</v>
      </c>
      <c r="E313">
        <v>24689.89</v>
      </c>
      <c r="F313">
        <f t="shared" si="13"/>
        <v>2020</v>
      </c>
      <c r="G313">
        <f t="shared" si="14"/>
        <v>2020</v>
      </c>
      <c r="H313">
        <f t="shared" si="12"/>
        <v>0</v>
      </c>
    </row>
    <row r="314" spans="1:8" x14ac:dyDescent="0.25">
      <c r="A314" t="s">
        <v>2407</v>
      </c>
      <c r="B314" s="1">
        <v>45485</v>
      </c>
      <c r="C314" s="1">
        <v>45556</v>
      </c>
      <c r="D314" s="1">
        <v>45707</v>
      </c>
      <c r="E314">
        <v>26454.639999999999</v>
      </c>
      <c r="F314">
        <f t="shared" si="13"/>
        <v>2024</v>
      </c>
      <c r="G314">
        <f t="shared" si="14"/>
        <v>2025</v>
      </c>
      <c r="H314">
        <f t="shared" si="12"/>
        <v>1</v>
      </c>
    </row>
    <row r="315" spans="1:8" x14ac:dyDescent="0.25">
      <c r="A315" t="s">
        <v>2408</v>
      </c>
      <c r="B315" s="1">
        <v>44337</v>
      </c>
      <c r="C315" s="1">
        <v>44373</v>
      </c>
      <c r="D315" s="1">
        <v>44701</v>
      </c>
      <c r="E315">
        <v>14848.07</v>
      </c>
      <c r="F315">
        <f t="shared" si="13"/>
        <v>2021</v>
      </c>
      <c r="G315">
        <f t="shared" si="14"/>
        <v>2022</v>
      </c>
      <c r="H315">
        <f t="shared" si="12"/>
        <v>1</v>
      </c>
    </row>
    <row r="316" spans="1:8" x14ac:dyDescent="0.25">
      <c r="A316" t="s">
        <v>2228</v>
      </c>
      <c r="B316" s="1">
        <v>45097</v>
      </c>
      <c r="C316" s="1">
        <v>45117</v>
      </c>
      <c r="D316" s="1">
        <v>45615</v>
      </c>
      <c r="E316">
        <v>52476.28</v>
      </c>
      <c r="F316">
        <f t="shared" si="13"/>
        <v>2023</v>
      </c>
      <c r="G316">
        <f t="shared" si="14"/>
        <v>2024</v>
      </c>
      <c r="H316">
        <f t="shared" si="12"/>
        <v>1</v>
      </c>
    </row>
    <row r="317" spans="1:8" x14ac:dyDescent="0.25">
      <c r="A317" t="s">
        <v>2409</v>
      </c>
      <c r="B317" s="1">
        <v>43890</v>
      </c>
      <c r="C317" s="1">
        <v>43904</v>
      </c>
      <c r="D317" s="1">
        <v>44063</v>
      </c>
      <c r="E317">
        <v>9646.16</v>
      </c>
      <c r="F317">
        <f t="shared" si="13"/>
        <v>2020</v>
      </c>
      <c r="G317">
        <f t="shared" si="14"/>
        <v>2020</v>
      </c>
      <c r="H317">
        <f t="shared" si="12"/>
        <v>0</v>
      </c>
    </row>
    <row r="318" spans="1:8" x14ac:dyDescent="0.25">
      <c r="A318" t="s">
        <v>2395</v>
      </c>
      <c r="B318" s="1">
        <v>45126</v>
      </c>
      <c r="C318" s="1">
        <v>45143</v>
      </c>
      <c r="D318" s="1">
        <v>45377</v>
      </c>
      <c r="E318">
        <v>83834.45</v>
      </c>
      <c r="F318">
        <f t="shared" si="13"/>
        <v>2023</v>
      </c>
      <c r="G318">
        <f t="shared" si="14"/>
        <v>2024</v>
      </c>
      <c r="H318">
        <f t="shared" si="12"/>
        <v>1</v>
      </c>
    </row>
    <row r="319" spans="1:8" x14ac:dyDescent="0.25">
      <c r="A319" t="s">
        <v>2410</v>
      </c>
      <c r="B319" s="1">
        <v>44405</v>
      </c>
      <c r="C319" s="1">
        <v>44407</v>
      </c>
      <c r="D319" s="1">
        <v>44775</v>
      </c>
      <c r="E319">
        <v>23785.37</v>
      </c>
      <c r="F319">
        <f t="shared" si="13"/>
        <v>2021</v>
      </c>
      <c r="G319">
        <f t="shared" si="14"/>
        <v>2022</v>
      </c>
      <c r="H319">
        <f t="shared" si="12"/>
        <v>1</v>
      </c>
    </row>
    <row r="320" spans="1:8" x14ac:dyDescent="0.25">
      <c r="A320" t="s">
        <v>2155</v>
      </c>
      <c r="B320" s="1">
        <v>45323</v>
      </c>
      <c r="C320" s="1">
        <v>45345</v>
      </c>
      <c r="D320" s="1">
        <v>45665</v>
      </c>
      <c r="E320">
        <v>66309.72</v>
      </c>
      <c r="F320">
        <f t="shared" si="13"/>
        <v>2024</v>
      </c>
      <c r="G320">
        <f t="shared" si="14"/>
        <v>2025</v>
      </c>
      <c r="H320">
        <f t="shared" si="12"/>
        <v>1</v>
      </c>
    </row>
    <row r="321" spans="1:8" x14ac:dyDescent="0.25">
      <c r="A321" t="s">
        <v>2411</v>
      </c>
      <c r="B321" s="1">
        <v>44442</v>
      </c>
      <c r="C321" s="1">
        <v>44482</v>
      </c>
      <c r="D321" s="1">
        <v>44765</v>
      </c>
      <c r="E321">
        <v>-9159.33</v>
      </c>
      <c r="F321">
        <f t="shared" si="13"/>
        <v>2021</v>
      </c>
      <c r="G321">
        <f t="shared" si="14"/>
        <v>2022</v>
      </c>
      <c r="H321">
        <f t="shared" si="12"/>
        <v>1</v>
      </c>
    </row>
    <row r="322" spans="1:8" x14ac:dyDescent="0.25">
      <c r="A322" t="s">
        <v>2412</v>
      </c>
      <c r="B322" s="1">
        <v>43926</v>
      </c>
      <c r="C322" s="1">
        <v>43982</v>
      </c>
      <c r="D322" s="1">
        <v>44346</v>
      </c>
      <c r="E322">
        <v>6113.06</v>
      </c>
      <c r="F322">
        <f t="shared" si="13"/>
        <v>2020</v>
      </c>
      <c r="G322">
        <f t="shared" si="14"/>
        <v>2021</v>
      </c>
      <c r="H322">
        <f t="shared" ref="H322:H385" si="15">MAX(0,G322-F322)</f>
        <v>1</v>
      </c>
    </row>
    <row r="323" spans="1:8" x14ac:dyDescent="0.25">
      <c r="A323" t="s">
        <v>2413</v>
      </c>
      <c r="B323" s="1">
        <v>44936</v>
      </c>
      <c r="C323" s="1">
        <v>44968</v>
      </c>
      <c r="D323" s="1">
        <v>45351</v>
      </c>
      <c r="E323">
        <v>83003.45</v>
      </c>
      <c r="F323">
        <f t="shared" ref="F323:F386" si="16">YEAR(B323)</f>
        <v>2023</v>
      </c>
      <c r="G323">
        <f t="shared" ref="G323:G386" si="17">YEAR(D323)</f>
        <v>2024</v>
      </c>
      <c r="H323">
        <f t="shared" si="15"/>
        <v>1</v>
      </c>
    </row>
    <row r="324" spans="1:8" x14ac:dyDescent="0.25">
      <c r="A324" t="s">
        <v>2239</v>
      </c>
      <c r="B324" s="1">
        <v>45588</v>
      </c>
      <c r="D324" s="1">
        <v>45608</v>
      </c>
      <c r="E324">
        <v>7174.9</v>
      </c>
      <c r="F324">
        <f t="shared" si="16"/>
        <v>2024</v>
      </c>
      <c r="G324">
        <f t="shared" si="17"/>
        <v>2024</v>
      </c>
      <c r="H324">
        <f t="shared" si="15"/>
        <v>0</v>
      </c>
    </row>
    <row r="325" spans="1:8" x14ac:dyDescent="0.25">
      <c r="A325" t="s">
        <v>2414</v>
      </c>
      <c r="B325" s="1">
        <v>44248</v>
      </c>
      <c r="C325" s="1">
        <v>44279</v>
      </c>
      <c r="D325" s="1">
        <v>44450</v>
      </c>
      <c r="E325">
        <v>40284.71</v>
      </c>
      <c r="F325">
        <f t="shared" si="16"/>
        <v>2021</v>
      </c>
      <c r="G325">
        <f t="shared" si="17"/>
        <v>2021</v>
      </c>
      <c r="H325">
        <f t="shared" si="15"/>
        <v>0</v>
      </c>
    </row>
    <row r="326" spans="1:8" x14ac:dyDescent="0.25">
      <c r="A326" t="s">
        <v>2415</v>
      </c>
      <c r="B326" s="1">
        <v>44820</v>
      </c>
      <c r="C326" s="1">
        <v>44906</v>
      </c>
      <c r="D326" s="1">
        <v>45389</v>
      </c>
      <c r="E326">
        <v>84692.160000000003</v>
      </c>
      <c r="F326">
        <f t="shared" si="16"/>
        <v>2022</v>
      </c>
      <c r="G326">
        <f t="shared" si="17"/>
        <v>2024</v>
      </c>
      <c r="H326">
        <f t="shared" si="15"/>
        <v>2</v>
      </c>
    </row>
    <row r="327" spans="1:8" x14ac:dyDescent="0.25">
      <c r="A327" t="s">
        <v>2416</v>
      </c>
      <c r="B327" s="1">
        <v>44629</v>
      </c>
      <c r="C327" s="1">
        <v>44630</v>
      </c>
      <c r="D327" s="1">
        <v>44828</v>
      </c>
      <c r="E327">
        <v>2515.4899999999998</v>
      </c>
      <c r="F327">
        <f t="shared" si="16"/>
        <v>2022</v>
      </c>
      <c r="G327">
        <f t="shared" si="17"/>
        <v>2022</v>
      </c>
      <c r="H327">
        <f t="shared" si="15"/>
        <v>0</v>
      </c>
    </row>
    <row r="328" spans="1:8" x14ac:dyDescent="0.25">
      <c r="A328" t="s">
        <v>2149</v>
      </c>
      <c r="B328" s="1">
        <v>44566</v>
      </c>
      <c r="D328" s="1">
        <v>44649</v>
      </c>
      <c r="E328">
        <v>69406.399999999994</v>
      </c>
      <c r="F328">
        <f t="shared" si="16"/>
        <v>2022</v>
      </c>
      <c r="G328">
        <f t="shared" si="17"/>
        <v>2022</v>
      </c>
      <c r="H328">
        <f t="shared" si="15"/>
        <v>0</v>
      </c>
    </row>
    <row r="329" spans="1:8" x14ac:dyDescent="0.25">
      <c r="A329" t="s">
        <v>2417</v>
      </c>
      <c r="B329" s="1">
        <v>44416</v>
      </c>
      <c r="C329" s="1">
        <v>44486</v>
      </c>
      <c r="D329" s="1">
        <v>44580</v>
      </c>
      <c r="E329">
        <v>22033.86</v>
      </c>
      <c r="F329">
        <f t="shared" si="16"/>
        <v>2021</v>
      </c>
      <c r="G329">
        <f t="shared" si="17"/>
        <v>2022</v>
      </c>
      <c r="H329">
        <f t="shared" si="15"/>
        <v>1</v>
      </c>
    </row>
    <row r="330" spans="1:8" x14ac:dyDescent="0.25">
      <c r="A330" t="s">
        <v>2418</v>
      </c>
      <c r="B330" s="1">
        <v>44198</v>
      </c>
      <c r="C330" s="1">
        <v>44257</v>
      </c>
      <c r="D330" s="1">
        <v>44660</v>
      </c>
      <c r="E330">
        <v>18988.71</v>
      </c>
      <c r="F330">
        <f t="shared" si="16"/>
        <v>2021</v>
      </c>
      <c r="G330">
        <f t="shared" si="17"/>
        <v>2022</v>
      </c>
      <c r="H330">
        <f t="shared" si="15"/>
        <v>1</v>
      </c>
    </row>
    <row r="331" spans="1:8" x14ac:dyDescent="0.25">
      <c r="A331" t="s">
        <v>2250</v>
      </c>
      <c r="B331" s="1">
        <v>43958</v>
      </c>
      <c r="C331" s="1">
        <v>44030</v>
      </c>
      <c r="D331" s="1">
        <v>44250</v>
      </c>
      <c r="E331">
        <v>72729.84</v>
      </c>
      <c r="F331">
        <f t="shared" si="16"/>
        <v>2020</v>
      </c>
      <c r="G331">
        <f t="shared" si="17"/>
        <v>2021</v>
      </c>
      <c r="H331">
        <f t="shared" si="15"/>
        <v>1</v>
      </c>
    </row>
    <row r="332" spans="1:8" x14ac:dyDescent="0.25">
      <c r="A332" t="s">
        <v>2331</v>
      </c>
      <c r="B332" s="1">
        <v>44250</v>
      </c>
      <c r="C332" s="1">
        <v>44251</v>
      </c>
      <c r="D332" s="1">
        <v>44620</v>
      </c>
      <c r="E332">
        <v>38897.72</v>
      </c>
      <c r="F332">
        <f t="shared" si="16"/>
        <v>2021</v>
      </c>
      <c r="G332">
        <f t="shared" si="17"/>
        <v>2022</v>
      </c>
      <c r="H332">
        <f t="shared" si="15"/>
        <v>1</v>
      </c>
    </row>
    <row r="333" spans="1:8" x14ac:dyDescent="0.25">
      <c r="A333" t="s">
        <v>2419</v>
      </c>
      <c r="B333" s="1">
        <v>44186</v>
      </c>
      <c r="C333" s="1">
        <v>44254</v>
      </c>
      <c r="D333" s="1">
        <v>44440</v>
      </c>
      <c r="E333">
        <v>66377.66</v>
      </c>
      <c r="F333">
        <f t="shared" si="16"/>
        <v>2020</v>
      </c>
      <c r="G333">
        <f t="shared" si="17"/>
        <v>2021</v>
      </c>
      <c r="H333">
        <f t="shared" si="15"/>
        <v>1</v>
      </c>
    </row>
    <row r="334" spans="1:8" x14ac:dyDescent="0.25">
      <c r="A334" t="s">
        <v>2420</v>
      </c>
      <c r="B334" s="1">
        <v>45419</v>
      </c>
      <c r="C334" s="1">
        <v>45480</v>
      </c>
      <c r="D334" s="1">
        <v>45581</v>
      </c>
      <c r="E334">
        <v>38966.15</v>
      </c>
      <c r="F334">
        <f t="shared" si="16"/>
        <v>2024</v>
      </c>
      <c r="G334">
        <f t="shared" si="17"/>
        <v>2024</v>
      </c>
      <c r="H334">
        <f t="shared" si="15"/>
        <v>0</v>
      </c>
    </row>
    <row r="335" spans="1:8" x14ac:dyDescent="0.25">
      <c r="A335" t="s">
        <v>2421</v>
      </c>
      <c r="B335" s="1">
        <v>44801</v>
      </c>
      <c r="C335" s="1">
        <v>44810</v>
      </c>
      <c r="D335" s="1">
        <v>44957</v>
      </c>
      <c r="E335">
        <v>2260.29</v>
      </c>
      <c r="F335">
        <f t="shared" si="16"/>
        <v>2022</v>
      </c>
      <c r="G335">
        <f t="shared" si="17"/>
        <v>2023</v>
      </c>
      <c r="H335">
        <f t="shared" si="15"/>
        <v>1</v>
      </c>
    </row>
    <row r="336" spans="1:8" x14ac:dyDescent="0.25">
      <c r="A336" t="s">
        <v>2329</v>
      </c>
      <c r="B336" s="1">
        <v>44401</v>
      </c>
      <c r="C336" s="1">
        <v>44423</v>
      </c>
      <c r="D336" s="1">
        <v>44484</v>
      </c>
      <c r="E336">
        <v>42922.080000000002</v>
      </c>
      <c r="F336">
        <f t="shared" si="16"/>
        <v>2021</v>
      </c>
      <c r="G336">
        <f t="shared" si="17"/>
        <v>2021</v>
      </c>
      <c r="H336">
        <f t="shared" si="15"/>
        <v>0</v>
      </c>
    </row>
    <row r="337" spans="1:8" x14ac:dyDescent="0.25">
      <c r="A337" t="s">
        <v>2422</v>
      </c>
      <c r="B337" s="1">
        <v>44566</v>
      </c>
      <c r="C337" s="1">
        <v>44597</v>
      </c>
      <c r="D337" s="1">
        <v>44904</v>
      </c>
      <c r="E337">
        <v>33405.24</v>
      </c>
      <c r="F337">
        <f t="shared" si="16"/>
        <v>2022</v>
      </c>
      <c r="G337">
        <f t="shared" si="17"/>
        <v>2022</v>
      </c>
      <c r="H337">
        <f t="shared" si="15"/>
        <v>0</v>
      </c>
    </row>
    <row r="338" spans="1:8" x14ac:dyDescent="0.25">
      <c r="A338" t="s">
        <v>2292</v>
      </c>
      <c r="B338" s="1">
        <v>45065</v>
      </c>
      <c r="C338" s="1">
        <v>45153</v>
      </c>
      <c r="D338" s="1">
        <v>45641</v>
      </c>
      <c r="E338">
        <v>34010.339999999997</v>
      </c>
      <c r="F338">
        <f t="shared" si="16"/>
        <v>2023</v>
      </c>
      <c r="G338">
        <f t="shared" si="17"/>
        <v>2024</v>
      </c>
      <c r="H338">
        <f t="shared" si="15"/>
        <v>1</v>
      </c>
    </row>
    <row r="339" spans="1:8" x14ac:dyDescent="0.25">
      <c r="A339" t="s">
        <v>2182</v>
      </c>
      <c r="B339" s="1">
        <v>44949</v>
      </c>
      <c r="C339" s="1">
        <v>45015</v>
      </c>
      <c r="D339" s="1">
        <v>45502</v>
      </c>
      <c r="E339">
        <v>29746.35</v>
      </c>
      <c r="F339">
        <f t="shared" si="16"/>
        <v>2023</v>
      </c>
      <c r="G339">
        <f t="shared" si="17"/>
        <v>2024</v>
      </c>
      <c r="H339">
        <f t="shared" si="15"/>
        <v>1</v>
      </c>
    </row>
    <row r="340" spans="1:8" x14ac:dyDescent="0.25">
      <c r="A340" t="s">
        <v>2423</v>
      </c>
      <c r="B340" s="1">
        <v>44615</v>
      </c>
      <c r="C340" s="1">
        <v>44677</v>
      </c>
      <c r="D340" s="1">
        <v>44787</v>
      </c>
      <c r="E340">
        <v>-7873.87</v>
      </c>
      <c r="F340">
        <f t="shared" si="16"/>
        <v>2022</v>
      </c>
      <c r="G340">
        <f t="shared" si="17"/>
        <v>2022</v>
      </c>
      <c r="H340">
        <f t="shared" si="15"/>
        <v>0</v>
      </c>
    </row>
    <row r="341" spans="1:8" x14ac:dyDescent="0.25">
      <c r="A341" t="s">
        <v>2424</v>
      </c>
      <c r="B341" s="1">
        <v>44471</v>
      </c>
      <c r="C341" s="1">
        <v>44559</v>
      </c>
      <c r="D341" s="1">
        <v>44620</v>
      </c>
      <c r="E341">
        <v>-19670.400000000001</v>
      </c>
      <c r="F341">
        <f t="shared" si="16"/>
        <v>2021</v>
      </c>
      <c r="G341">
        <f t="shared" si="17"/>
        <v>2022</v>
      </c>
      <c r="H341">
        <f t="shared" si="15"/>
        <v>1</v>
      </c>
    </row>
    <row r="342" spans="1:8" x14ac:dyDescent="0.25">
      <c r="A342" t="s">
        <v>2146</v>
      </c>
      <c r="B342" s="1">
        <v>43892</v>
      </c>
      <c r="C342" s="1">
        <v>43981</v>
      </c>
      <c r="D342" s="1">
        <v>44331</v>
      </c>
      <c r="E342">
        <v>76736.62</v>
      </c>
      <c r="F342">
        <f t="shared" si="16"/>
        <v>2020</v>
      </c>
      <c r="G342">
        <f t="shared" si="17"/>
        <v>2021</v>
      </c>
      <c r="H342">
        <f t="shared" si="15"/>
        <v>1</v>
      </c>
    </row>
    <row r="343" spans="1:8" x14ac:dyDescent="0.25">
      <c r="A343" t="s">
        <v>2227</v>
      </c>
      <c r="B343" s="1">
        <v>44163</v>
      </c>
      <c r="C343" s="1">
        <v>44240</v>
      </c>
      <c r="D343" s="1">
        <v>44567</v>
      </c>
      <c r="E343">
        <v>17526.330000000002</v>
      </c>
      <c r="F343">
        <f t="shared" si="16"/>
        <v>2020</v>
      </c>
      <c r="G343">
        <f t="shared" si="17"/>
        <v>2022</v>
      </c>
      <c r="H343">
        <f t="shared" si="15"/>
        <v>2</v>
      </c>
    </row>
    <row r="344" spans="1:8" x14ac:dyDescent="0.25">
      <c r="A344" t="s">
        <v>2425</v>
      </c>
      <c r="B344" s="1">
        <v>44829</v>
      </c>
      <c r="C344" s="1">
        <v>44854</v>
      </c>
      <c r="D344" s="1">
        <v>45512</v>
      </c>
      <c r="E344">
        <v>6922.13</v>
      </c>
      <c r="F344">
        <f t="shared" si="16"/>
        <v>2022</v>
      </c>
      <c r="G344">
        <f t="shared" si="17"/>
        <v>2024</v>
      </c>
      <c r="H344">
        <f t="shared" si="15"/>
        <v>2</v>
      </c>
    </row>
    <row r="345" spans="1:8" x14ac:dyDescent="0.25">
      <c r="A345" t="s">
        <v>2426</v>
      </c>
      <c r="B345" s="1">
        <v>44773</v>
      </c>
      <c r="C345" s="1">
        <v>44790</v>
      </c>
      <c r="D345" s="1">
        <v>45238</v>
      </c>
      <c r="E345">
        <v>-19040.259999999998</v>
      </c>
      <c r="F345">
        <f t="shared" si="16"/>
        <v>2022</v>
      </c>
      <c r="G345">
        <f t="shared" si="17"/>
        <v>2023</v>
      </c>
      <c r="H345">
        <f t="shared" si="15"/>
        <v>1</v>
      </c>
    </row>
    <row r="346" spans="1:8" x14ac:dyDescent="0.25">
      <c r="A346" t="s">
        <v>2427</v>
      </c>
      <c r="B346" s="1">
        <v>45205</v>
      </c>
      <c r="C346" s="1">
        <v>45275</v>
      </c>
      <c r="D346" s="1">
        <v>45361</v>
      </c>
      <c r="E346">
        <v>-3812.25</v>
      </c>
      <c r="F346">
        <f t="shared" si="16"/>
        <v>2023</v>
      </c>
      <c r="G346">
        <f t="shared" si="17"/>
        <v>2024</v>
      </c>
      <c r="H346">
        <f t="shared" si="15"/>
        <v>1</v>
      </c>
    </row>
    <row r="347" spans="1:8" x14ac:dyDescent="0.25">
      <c r="A347" t="s">
        <v>2428</v>
      </c>
      <c r="B347" s="1">
        <v>44781</v>
      </c>
      <c r="C347" s="1">
        <v>44848</v>
      </c>
      <c r="D347" s="1">
        <v>45124</v>
      </c>
      <c r="E347">
        <v>-22483.15</v>
      </c>
      <c r="F347">
        <f t="shared" si="16"/>
        <v>2022</v>
      </c>
      <c r="G347">
        <f t="shared" si="17"/>
        <v>2023</v>
      </c>
      <c r="H347">
        <f t="shared" si="15"/>
        <v>1</v>
      </c>
    </row>
    <row r="348" spans="1:8" x14ac:dyDescent="0.25">
      <c r="A348" t="s">
        <v>2429</v>
      </c>
      <c r="B348" s="1">
        <v>45396</v>
      </c>
      <c r="C348" s="1">
        <v>45455</v>
      </c>
      <c r="D348" s="1">
        <v>45741</v>
      </c>
      <c r="E348">
        <v>40687.43</v>
      </c>
      <c r="F348">
        <f t="shared" si="16"/>
        <v>2024</v>
      </c>
      <c r="G348">
        <f t="shared" si="17"/>
        <v>2025</v>
      </c>
      <c r="H348">
        <f t="shared" si="15"/>
        <v>1</v>
      </c>
    </row>
    <row r="349" spans="1:8" x14ac:dyDescent="0.25">
      <c r="A349" t="s">
        <v>2430</v>
      </c>
      <c r="B349" s="1">
        <v>44518</v>
      </c>
      <c r="C349" s="1">
        <v>44590</v>
      </c>
      <c r="D349" s="1">
        <v>45092</v>
      </c>
      <c r="E349">
        <v>54968.26</v>
      </c>
      <c r="F349">
        <f t="shared" si="16"/>
        <v>2021</v>
      </c>
      <c r="G349">
        <f t="shared" si="17"/>
        <v>2023</v>
      </c>
      <c r="H349">
        <f t="shared" si="15"/>
        <v>2</v>
      </c>
    </row>
    <row r="350" spans="1:8" x14ac:dyDescent="0.25">
      <c r="A350" t="s">
        <v>2431</v>
      </c>
      <c r="B350" s="1">
        <v>45349</v>
      </c>
      <c r="C350" s="1">
        <v>45397</v>
      </c>
      <c r="D350" s="1">
        <v>45433</v>
      </c>
      <c r="E350">
        <v>70832.070000000007</v>
      </c>
      <c r="F350">
        <f t="shared" si="16"/>
        <v>2024</v>
      </c>
      <c r="G350">
        <f t="shared" si="17"/>
        <v>2024</v>
      </c>
      <c r="H350">
        <f t="shared" si="15"/>
        <v>0</v>
      </c>
    </row>
    <row r="351" spans="1:8" x14ac:dyDescent="0.25">
      <c r="A351" t="s">
        <v>2432</v>
      </c>
      <c r="B351" s="1">
        <v>44040</v>
      </c>
      <c r="C351" s="1">
        <v>44048</v>
      </c>
      <c r="D351" s="1">
        <v>44242</v>
      </c>
      <c r="E351">
        <v>28606.58</v>
      </c>
      <c r="F351">
        <f t="shared" si="16"/>
        <v>2020</v>
      </c>
      <c r="G351">
        <f t="shared" si="17"/>
        <v>2021</v>
      </c>
      <c r="H351">
        <f t="shared" si="15"/>
        <v>1</v>
      </c>
    </row>
    <row r="352" spans="1:8" x14ac:dyDescent="0.25">
      <c r="A352" t="s">
        <v>2433</v>
      </c>
      <c r="B352" s="1">
        <v>45041</v>
      </c>
      <c r="C352" s="1">
        <v>45087</v>
      </c>
      <c r="D352" s="1">
        <v>45312</v>
      </c>
      <c r="E352">
        <v>82082.490000000005</v>
      </c>
      <c r="F352">
        <f t="shared" si="16"/>
        <v>2023</v>
      </c>
      <c r="G352">
        <f t="shared" si="17"/>
        <v>2024</v>
      </c>
      <c r="H352">
        <f t="shared" si="15"/>
        <v>1</v>
      </c>
    </row>
    <row r="353" spans="1:8" x14ac:dyDescent="0.25">
      <c r="A353" t="s">
        <v>2434</v>
      </c>
      <c r="B353" s="1">
        <v>45364</v>
      </c>
      <c r="C353" s="1">
        <v>45443</v>
      </c>
      <c r="D353" s="1">
        <v>45460</v>
      </c>
      <c r="E353">
        <v>66061.58</v>
      </c>
      <c r="F353">
        <f t="shared" si="16"/>
        <v>2024</v>
      </c>
      <c r="G353">
        <f t="shared" si="17"/>
        <v>2024</v>
      </c>
      <c r="H353">
        <f t="shared" si="15"/>
        <v>0</v>
      </c>
    </row>
    <row r="354" spans="1:8" x14ac:dyDescent="0.25">
      <c r="A354" t="s">
        <v>2435</v>
      </c>
      <c r="B354" s="1">
        <v>44237</v>
      </c>
      <c r="C354" s="1">
        <v>44294</v>
      </c>
      <c r="D354" s="1">
        <v>44589</v>
      </c>
      <c r="E354">
        <v>54598.68</v>
      </c>
      <c r="F354">
        <f t="shared" si="16"/>
        <v>2021</v>
      </c>
      <c r="G354">
        <f t="shared" si="17"/>
        <v>2022</v>
      </c>
      <c r="H354">
        <f t="shared" si="15"/>
        <v>1</v>
      </c>
    </row>
    <row r="355" spans="1:8" x14ac:dyDescent="0.25">
      <c r="A355" t="s">
        <v>2436</v>
      </c>
      <c r="B355" s="1">
        <v>44184</v>
      </c>
      <c r="C355" s="1">
        <v>44223</v>
      </c>
      <c r="D355" s="1">
        <v>44352</v>
      </c>
      <c r="E355">
        <v>-8435.69</v>
      </c>
      <c r="F355">
        <f t="shared" si="16"/>
        <v>2020</v>
      </c>
      <c r="G355">
        <f t="shared" si="17"/>
        <v>2021</v>
      </c>
      <c r="H355">
        <f t="shared" si="15"/>
        <v>1</v>
      </c>
    </row>
    <row r="356" spans="1:8" x14ac:dyDescent="0.25">
      <c r="A356" t="s">
        <v>2374</v>
      </c>
      <c r="B356" s="1">
        <v>44914</v>
      </c>
      <c r="C356" s="1">
        <v>44952</v>
      </c>
      <c r="D356" s="1">
        <v>45409</v>
      </c>
      <c r="E356">
        <v>64152.18</v>
      </c>
      <c r="F356">
        <f t="shared" si="16"/>
        <v>2022</v>
      </c>
      <c r="G356">
        <f t="shared" si="17"/>
        <v>2024</v>
      </c>
      <c r="H356">
        <f t="shared" si="15"/>
        <v>2</v>
      </c>
    </row>
    <row r="357" spans="1:8" x14ac:dyDescent="0.25">
      <c r="A357" t="s">
        <v>2437</v>
      </c>
      <c r="B357" s="1">
        <v>45012</v>
      </c>
      <c r="C357" s="1">
        <v>45024</v>
      </c>
      <c r="D357" s="1">
        <v>45344</v>
      </c>
      <c r="E357">
        <v>50860.25</v>
      </c>
      <c r="F357">
        <f t="shared" si="16"/>
        <v>2023</v>
      </c>
      <c r="G357">
        <f t="shared" si="17"/>
        <v>2024</v>
      </c>
      <c r="H357">
        <f t="shared" si="15"/>
        <v>1</v>
      </c>
    </row>
    <row r="358" spans="1:8" x14ac:dyDescent="0.25">
      <c r="A358" t="s">
        <v>2438</v>
      </c>
      <c r="B358" s="1">
        <v>44556</v>
      </c>
      <c r="C358" s="1">
        <v>44609</v>
      </c>
      <c r="D358" s="1">
        <v>44749</v>
      </c>
      <c r="E358">
        <v>83193.33</v>
      </c>
      <c r="F358">
        <f t="shared" si="16"/>
        <v>2021</v>
      </c>
      <c r="G358">
        <f t="shared" si="17"/>
        <v>2022</v>
      </c>
      <c r="H358">
        <f t="shared" si="15"/>
        <v>1</v>
      </c>
    </row>
    <row r="359" spans="1:8" x14ac:dyDescent="0.25">
      <c r="A359" t="s">
        <v>2439</v>
      </c>
      <c r="B359" s="1">
        <v>45560</v>
      </c>
      <c r="C359" s="1">
        <v>45606</v>
      </c>
      <c r="D359" s="1">
        <v>45712</v>
      </c>
      <c r="E359">
        <v>-1657.96</v>
      </c>
      <c r="F359">
        <f t="shared" si="16"/>
        <v>2024</v>
      </c>
      <c r="G359">
        <f t="shared" si="17"/>
        <v>2025</v>
      </c>
      <c r="H359">
        <f t="shared" si="15"/>
        <v>1</v>
      </c>
    </row>
    <row r="360" spans="1:8" x14ac:dyDescent="0.25">
      <c r="A360" t="s">
        <v>2440</v>
      </c>
      <c r="B360" s="1">
        <v>45567</v>
      </c>
      <c r="C360" s="1">
        <v>45610</v>
      </c>
      <c r="D360" s="1">
        <v>45664</v>
      </c>
      <c r="E360">
        <v>-23810.959999999999</v>
      </c>
      <c r="F360">
        <f t="shared" si="16"/>
        <v>2024</v>
      </c>
      <c r="G360">
        <f t="shared" si="17"/>
        <v>2025</v>
      </c>
      <c r="H360">
        <f t="shared" si="15"/>
        <v>1</v>
      </c>
    </row>
    <row r="361" spans="1:8" x14ac:dyDescent="0.25">
      <c r="A361" t="s">
        <v>2441</v>
      </c>
      <c r="B361" s="1">
        <v>45211</v>
      </c>
      <c r="C361" s="1">
        <v>45291</v>
      </c>
      <c r="D361" s="1">
        <v>45688</v>
      </c>
      <c r="E361">
        <v>79418.87</v>
      </c>
      <c r="F361">
        <f t="shared" si="16"/>
        <v>2023</v>
      </c>
      <c r="G361">
        <f t="shared" si="17"/>
        <v>2025</v>
      </c>
      <c r="H361">
        <f t="shared" si="15"/>
        <v>2</v>
      </c>
    </row>
    <row r="362" spans="1:8" x14ac:dyDescent="0.25">
      <c r="A362" t="s">
        <v>2442</v>
      </c>
      <c r="B362" s="1">
        <v>44427</v>
      </c>
      <c r="C362" s="1">
        <v>44462</v>
      </c>
      <c r="D362" s="1">
        <v>44396</v>
      </c>
      <c r="E362">
        <v>56745.99</v>
      </c>
      <c r="F362">
        <f t="shared" si="16"/>
        <v>2021</v>
      </c>
      <c r="G362">
        <f t="shared" si="17"/>
        <v>2021</v>
      </c>
      <c r="H362">
        <f t="shared" si="15"/>
        <v>0</v>
      </c>
    </row>
    <row r="363" spans="1:8" x14ac:dyDescent="0.25">
      <c r="A363" t="s">
        <v>2290</v>
      </c>
      <c r="B363" s="1">
        <v>44140</v>
      </c>
      <c r="C363" s="1">
        <v>44144</v>
      </c>
      <c r="D363" s="1">
        <v>44240</v>
      </c>
      <c r="E363">
        <v>18465.349999999999</v>
      </c>
      <c r="F363">
        <f t="shared" si="16"/>
        <v>2020</v>
      </c>
      <c r="G363">
        <f t="shared" si="17"/>
        <v>2021</v>
      </c>
      <c r="H363">
        <f t="shared" si="15"/>
        <v>1</v>
      </c>
    </row>
    <row r="364" spans="1:8" x14ac:dyDescent="0.25">
      <c r="A364" t="s">
        <v>2443</v>
      </c>
      <c r="B364" s="1">
        <v>43926</v>
      </c>
      <c r="D364" s="1">
        <v>44148</v>
      </c>
      <c r="E364">
        <v>14282.49</v>
      </c>
      <c r="F364">
        <f t="shared" si="16"/>
        <v>2020</v>
      </c>
      <c r="G364">
        <f t="shared" si="17"/>
        <v>2020</v>
      </c>
      <c r="H364">
        <f t="shared" si="15"/>
        <v>0</v>
      </c>
    </row>
    <row r="365" spans="1:8" x14ac:dyDescent="0.25">
      <c r="A365" t="s">
        <v>2444</v>
      </c>
      <c r="B365" s="1">
        <v>44495</v>
      </c>
      <c r="C365" s="1">
        <v>44530</v>
      </c>
      <c r="D365" s="1">
        <v>44695</v>
      </c>
      <c r="E365">
        <v>18032</v>
      </c>
      <c r="F365">
        <f t="shared" si="16"/>
        <v>2021</v>
      </c>
      <c r="G365">
        <f t="shared" si="17"/>
        <v>2022</v>
      </c>
      <c r="H365">
        <f t="shared" si="15"/>
        <v>1</v>
      </c>
    </row>
    <row r="366" spans="1:8" x14ac:dyDescent="0.25">
      <c r="A366" t="s">
        <v>2445</v>
      </c>
      <c r="B366" s="1">
        <v>44483</v>
      </c>
      <c r="C366" s="1">
        <v>44558</v>
      </c>
      <c r="D366" s="1">
        <v>44586</v>
      </c>
      <c r="E366">
        <v>76054.27</v>
      </c>
      <c r="F366">
        <f t="shared" si="16"/>
        <v>2021</v>
      </c>
      <c r="G366">
        <f t="shared" si="17"/>
        <v>2022</v>
      </c>
      <c r="H366">
        <f t="shared" si="15"/>
        <v>1</v>
      </c>
    </row>
    <row r="367" spans="1:8" x14ac:dyDescent="0.25">
      <c r="A367" t="s">
        <v>2446</v>
      </c>
      <c r="B367" s="1">
        <v>44743</v>
      </c>
      <c r="C367" s="1">
        <v>44754</v>
      </c>
      <c r="D367" s="1">
        <v>44860</v>
      </c>
      <c r="E367">
        <v>30516.639999999999</v>
      </c>
      <c r="F367">
        <f t="shared" si="16"/>
        <v>2022</v>
      </c>
      <c r="G367">
        <f t="shared" si="17"/>
        <v>2022</v>
      </c>
      <c r="H367">
        <f t="shared" si="15"/>
        <v>0</v>
      </c>
    </row>
    <row r="368" spans="1:8" x14ac:dyDescent="0.25">
      <c r="A368" t="s">
        <v>2447</v>
      </c>
      <c r="B368" s="1">
        <v>45554</v>
      </c>
      <c r="C368" s="1">
        <v>45618</v>
      </c>
      <c r="D368" s="1">
        <v>45698</v>
      </c>
      <c r="E368">
        <v>46021.82</v>
      </c>
      <c r="F368">
        <f t="shared" si="16"/>
        <v>2024</v>
      </c>
      <c r="G368">
        <f t="shared" si="17"/>
        <v>2025</v>
      </c>
      <c r="H368">
        <f t="shared" si="15"/>
        <v>1</v>
      </c>
    </row>
    <row r="369" spans="1:8" x14ac:dyDescent="0.25">
      <c r="A369" t="s">
        <v>2448</v>
      </c>
      <c r="B369" s="1">
        <v>45593</v>
      </c>
      <c r="C369" s="1">
        <v>45641</v>
      </c>
      <c r="D369" s="1">
        <v>45695</v>
      </c>
      <c r="E369">
        <v>31813.3</v>
      </c>
      <c r="F369">
        <f t="shared" si="16"/>
        <v>2024</v>
      </c>
      <c r="G369">
        <f t="shared" si="17"/>
        <v>2025</v>
      </c>
      <c r="H369">
        <f t="shared" si="15"/>
        <v>1</v>
      </c>
    </row>
    <row r="370" spans="1:8" x14ac:dyDescent="0.25">
      <c r="A370" t="s">
        <v>2449</v>
      </c>
      <c r="B370" s="1">
        <v>44705</v>
      </c>
      <c r="C370" s="1">
        <v>44745</v>
      </c>
      <c r="D370" s="1">
        <v>45165</v>
      </c>
      <c r="E370">
        <v>19019.900000000001</v>
      </c>
      <c r="F370">
        <f t="shared" si="16"/>
        <v>2022</v>
      </c>
      <c r="G370">
        <f t="shared" si="17"/>
        <v>2023</v>
      </c>
      <c r="H370">
        <f t="shared" si="15"/>
        <v>1</v>
      </c>
    </row>
    <row r="371" spans="1:8" x14ac:dyDescent="0.25">
      <c r="A371" t="s">
        <v>2450</v>
      </c>
      <c r="B371" s="1">
        <v>44103</v>
      </c>
      <c r="C371" s="1">
        <v>44133</v>
      </c>
      <c r="D371" s="1">
        <v>44542</v>
      </c>
      <c r="E371">
        <v>81701.67</v>
      </c>
      <c r="F371">
        <f t="shared" si="16"/>
        <v>2020</v>
      </c>
      <c r="G371">
        <f t="shared" si="17"/>
        <v>2021</v>
      </c>
      <c r="H371">
        <f t="shared" si="15"/>
        <v>1</v>
      </c>
    </row>
    <row r="372" spans="1:8" x14ac:dyDescent="0.25">
      <c r="A372" t="s">
        <v>2451</v>
      </c>
      <c r="B372" s="1">
        <v>44516</v>
      </c>
      <c r="C372" s="1">
        <v>44553</v>
      </c>
      <c r="D372" s="1">
        <v>45025</v>
      </c>
      <c r="E372">
        <v>-12840.61</v>
      </c>
      <c r="F372">
        <f t="shared" si="16"/>
        <v>2021</v>
      </c>
      <c r="G372">
        <f t="shared" si="17"/>
        <v>2023</v>
      </c>
      <c r="H372">
        <f t="shared" si="15"/>
        <v>2</v>
      </c>
    </row>
    <row r="373" spans="1:8" x14ac:dyDescent="0.25">
      <c r="A373" t="s">
        <v>2452</v>
      </c>
      <c r="B373" s="1">
        <v>44714</v>
      </c>
      <c r="C373" s="1">
        <v>44759</v>
      </c>
      <c r="D373" s="1">
        <v>44872</v>
      </c>
      <c r="E373">
        <v>70370.19</v>
      </c>
      <c r="F373">
        <f t="shared" si="16"/>
        <v>2022</v>
      </c>
      <c r="G373">
        <f t="shared" si="17"/>
        <v>2022</v>
      </c>
      <c r="H373">
        <f t="shared" si="15"/>
        <v>0</v>
      </c>
    </row>
    <row r="374" spans="1:8" x14ac:dyDescent="0.25">
      <c r="A374" t="s">
        <v>2453</v>
      </c>
      <c r="B374" s="1">
        <v>44872</v>
      </c>
      <c r="C374" s="1">
        <v>44960</v>
      </c>
      <c r="D374" s="1">
        <v>45546</v>
      </c>
      <c r="E374">
        <v>81365.02</v>
      </c>
      <c r="F374">
        <f t="shared" si="16"/>
        <v>2022</v>
      </c>
      <c r="G374">
        <f t="shared" si="17"/>
        <v>2024</v>
      </c>
      <c r="H374">
        <f t="shared" si="15"/>
        <v>2</v>
      </c>
    </row>
    <row r="375" spans="1:8" x14ac:dyDescent="0.25">
      <c r="A375" t="s">
        <v>2195</v>
      </c>
      <c r="B375" s="1">
        <v>44263</v>
      </c>
      <c r="C375" s="1">
        <v>44336</v>
      </c>
      <c r="D375" s="1">
        <v>44395</v>
      </c>
      <c r="E375">
        <v>2197.7399999999998</v>
      </c>
      <c r="F375">
        <f t="shared" si="16"/>
        <v>2021</v>
      </c>
      <c r="G375">
        <f t="shared" si="17"/>
        <v>2021</v>
      </c>
      <c r="H375">
        <f t="shared" si="15"/>
        <v>0</v>
      </c>
    </row>
    <row r="376" spans="1:8" x14ac:dyDescent="0.25">
      <c r="A376" t="s">
        <v>2351</v>
      </c>
      <c r="B376" s="1">
        <v>44988</v>
      </c>
      <c r="C376" s="1">
        <v>45075</v>
      </c>
      <c r="D376" s="1">
        <v>45363</v>
      </c>
      <c r="E376">
        <v>42681.62</v>
      </c>
      <c r="F376">
        <f t="shared" si="16"/>
        <v>2023</v>
      </c>
      <c r="G376">
        <f t="shared" si="17"/>
        <v>2024</v>
      </c>
      <c r="H376">
        <f t="shared" si="15"/>
        <v>1</v>
      </c>
    </row>
    <row r="377" spans="1:8" x14ac:dyDescent="0.25">
      <c r="A377" t="s">
        <v>2454</v>
      </c>
      <c r="B377" s="1">
        <v>44931</v>
      </c>
      <c r="D377" s="1">
        <v>45149</v>
      </c>
      <c r="E377">
        <v>-2606.5100000000002</v>
      </c>
      <c r="F377">
        <f t="shared" si="16"/>
        <v>2023</v>
      </c>
      <c r="G377">
        <f t="shared" si="17"/>
        <v>2023</v>
      </c>
      <c r="H377">
        <f t="shared" si="15"/>
        <v>0</v>
      </c>
    </row>
    <row r="378" spans="1:8" x14ac:dyDescent="0.25">
      <c r="A378" t="s">
        <v>2455</v>
      </c>
      <c r="B378" s="1">
        <v>45348</v>
      </c>
      <c r="C378" s="1">
        <v>45381</v>
      </c>
      <c r="D378" s="1">
        <v>45556</v>
      </c>
      <c r="E378">
        <v>7545.9</v>
      </c>
      <c r="F378">
        <f t="shared" si="16"/>
        <v>2024</v>
      </c>
      <c r="G378">
        <f t="shared" si="17"/>
        <v>2024</v>
      </c>
      <c r="H378">
        <f t="shared" si="15"/>
        <v>0</v>
      </c>
    </row>
    <row r="379" spans="1:8" x14ac:dyDescent="0.25">
      <c r="A379" t="s">
        <v>2231</v>
      </c>
      <c r="B379" s="1">
        <v>44420</v>
      </c>
      <c r="C379" s="1">
        <v>44441</v>
      </c>
      <c r="D379" s="1">
        <v>44574</v>
      </c>
      <c r="E379">
        <v>66143.289999999994</v>
      </c>
      <c r="F379">
        <f t="shared" si="16"/>
        <v>2021</v>
      </c>
      <c r="G379">
        <f t="shared" si="17"/>
        <v>2022</v>
      </c>
      <c r="H379">
        <f t="shared" si="15"/>
        <v>1</v>
      </c>
    </row>
    <row r="380" spans="1:8" x14ac:dyDescent="0.25">
      <c r="A380" t="s">
        <v>2256</v>
      </c>
      <c r="B380" s="1">
        <v>44198</v>
      </c>
      <c r="C380" s="1">
        <v>44246</v>
      </c>
      <c r="D380" s="1">
        <v>44371</v>
      </c>
      <c r="E380">
        <v>43178.46</v>
      </c>
      <c r="F380">
        <f t="shared" si="16"/>
        <v>2021</v>
      </c>
      <c r="G380">
        <f t="shared" si="17"/>
        <v>2021</v>
      </c>
      <c r="H380">
        <f t="shared" si="15"/>
        <v>0</v>
      </c>
    </row>
    <row r="381" spans="1:8" x14ac:dyDescent="0.25">
      <c r="A381" t="s">
        <v>2417</v>
      </c>
      <c r="B381" s="1">
        <v>44416</v>
      </c>
      <c r="C381" s="1">
        <v>44486</v>
      </c>
      <c r="D381" s="1">
        <v>44761</v>
      </c>
      <c r="E381">
        <v>30718.27</v>
      </c>
      <c r="F381">
        <f t="shared" si="16"/>
        <v>2021</v>
      </c>
      <c r="G381">
        <f t="shared" si="17"/>
        <v>2022</v>
      </c>
      <c r="H381">
        <f t="shared" si="15"/>
        <v>1</v>
      </c>
    </row>
    <row r="382" spans="1:8" x14ac:dyDescent="0.25">
      <c r="A382" t="s">
        <v>2456</v>
      </c>
      <c r="B382" s="1">
        <v>45244</v>
      </c>
      <c r="C382" s="1">
        <v>45323</v>
      </c>
      <c r="D382" s="1">
        <v>45772</v>
      </c>
      <c r="E382">
        <v>82024.63</v>
      </c>
      <c r="F382">
        <f t="shared" si="16"/>
        <v>2023</v>
      </c>
      <c r="G382">
        <f t="shared" si="17"/>
        <v>2025</v>
      </c>
      <c r="H382">
        <f t="shared" si="15"/>
        <v>2</v>
      </c>
    </row>
    <row r="383" spans="1:8" x14ac:dyDescent="0.25">
      <c r="A383" t="s">
        <v>2457</v>
      </c>
      <c r="B383" s="1">
        <v>44210</v>
      </c>
      <c r="C383" s="1">
        <v>44299</v>
      </c>
      <c r="D383" s="1">
        <v>44678</v>
      </c>
      <c r="E383">
        <v>-17095.22</v>
      </c>
      <c r="F383">
        <f t="shared" si="16"/>
        <v>2021</v>
      </c>
      <c r="G383">
        <f t="shared" si="17"/>
        <v>2022</v>
      </c>
      <c r="H383">
        <f t="shared" si="15"/>
        <v>1</v>
      </c>
    </row>
    <row r="384" spans="1:8" x14ac:dyDescent="0.25">
      <c r="A384" t="s">
        <v>2458</v>
      </c>
      <c r="B384" s="1">
        <v>44456</v>
      </c>
      <c r="C384" s="1">
        <v>44510</v>
      </c>
      <c r="D384" s="1">
        <v>44837</v>
      </c>
      <c r="E384">
        <v>10649.69</v>
      </c>
      <c r="F384">
        <f t="shared" si="16"/>
        <v>2021</v>
      </c>
      <c r="G384">
        <f t="shared" si="17"/>
        <v>2022</v>
      </c>
      <c r="H384">
        <f t="shared" si="15"/>
        <v>1</v>
      </c>
    </row>
    <row r="385" spans="1:8" x14ac:dyDescent="0.25">
      <c r="A385" t="s">
        <v>2459</v>
      </c>
      <c r="B385" s="1">
        <v>45232</v>
      </c>
      <c r="C385" s="1">
        <v>45262</v>
      </c>
      <c r="D385" s="1">
        <v>45511</v>
      </c>
      <c r="E385">
        <v>34506.300000000003</v>
      </c>
      <c r="F385">
        <f t="shared" si="16"/>
        <v>2023</v>
      </c>
      <c r="G385">
        <f t="shared" si="17"/>
        <v>2024</v>
      </c>
      <c r="H385">
        <f t="shared" si="15"/>
        <v>1</v>
      </c>
    </row>
    <row r="386" spans="1:8" x14ac:dyDescent="0.25">
      <c r="A386" t="s">
        <v>2460</v>
      </c>
      <c r="B386" s="1">
        <v>44497</v>
      </c>
      <c r="C386" s="1">
        <v>44539</v>
      </c>
      <c r="D386" s="1">
        <v>44632</v>
      </c>
      <c r="E386">
        <v>62273.04</v>
      </c>
      <c r="F386">
        <f t="shared" si="16"/>
        <v>2021</v>
      </c>
      <c r="G386">
        <f t="shared" si="17"/>
        <v>2022</v>
      </c>
      <c r="H386">
        <f t="shared" ref="H386:H449" si="18">MAX(0,G386-F386)</f>
        <v>1</v>
      </c>
    </row>
    <row r="387" spans="1:8" x14ac:dyDescent="0.25">
      <c r="A387" t="s">
        <v>2331</v>
      </c>
      <c r="B387" s="1">
        <v>44250</v>
      </c>
      <c r="C387" s="1">
        <v>44251</v>
      </c>
      <c r="D387" s="1">
        <v>44597</v>
      </c>
      <c r="E387">
        <v>74027.429999999993</v>
      </c>
      <c r="F387">
        <f t="shared" ref="F387:F450" si="19">YEAR(B387)</f>
        <v>2021</v>
      </c>
      <c r="G387">
        <f t="shared" ref="G387:G450" si="20">YEAR(D387)</f>
        <v>2022</v>
      </c>
      <c r="H387">
        <f t="shared" si="18"/>
        <v>1</v>
      </c>
    </row>
    <row r="388" spans="1:8" x14ac:dyDescent="0.25">
      <c r="A388" t="s">
        <v>2461</v>
      </c>
      <c r="B388" s="1">
        <v>45290</v>
      </c>
      <c r="D388" s="1">
        <v>45551</v>
      </c>
      <c r="E388">
        <v>32089.279999999999</v>
      </c>
      <c r="F388">
        <f t="shared" si="19"/>
        <v>2023</v>
      </c>
      <c r="G388">
        <f t="shared" si="20"/>
        <v>2024</v>
      </c>
      <c r="H388">
        <f t="shared" si="18"/>
        <v>1</v>
      </c>
    </row>
    <row r="389" spans="1:8" x14ac:dyDescent="0.25">
      <c r="A389" t="s">
        <v>2462</v>
      </c>
      <c r="B389" s="1">
        <v>45411</v>
      </c>
      <c r="C389" s="1">
        <v>45413</v>
      </c>
      <c r="D389" s="1">
        <v>45556</v>
      </c>
      <c r="E389">
        <v>74522.320000000007</v>
      </c>
      <c r="F389">
        <f t="shared" si="19"/>
        <v>2024</v>
      </c>
      <c r="G389">
        <f t="shared" si="20"/>
        <v>2024</v>
      </c>
      <c r="H389">
        <f t="shared" si="18"/>
        <v>0</v>
      </c>
    </row>
    <row r="390" spans="1:8" x14ac:dyDescent="0.25">
      <c r="A390" t="s">
        <v>2463</v>
      </c>
      <c r="B390" s="1">
        <v>44385</v>
      </c>
      <c r="C390" s="1">
        <v>44419</v>
      </c>
      <c r="D390" s="1">
        <v>44450</v>
      </c>
      <c r="E390">
        <v>26403.5</v>
      </c>
      <c r="F390">
        <f t="shared" si="19"/>
        <v>2021</v>
      </c>
      <c r="G390">
        <f t="shared" si="20"/>
        <v>2021</v>
      </c>
      <c r="H390">
        <f t="shared" si="18"/>
        <v>0</v>
      </c>
    </row>
    <row r="391" spans="1:8" x14ac:dyDescent="0.25">
      <c r="A391" t="s">
        <v>2464</v>
      </c>
      <c r="B391" s="1">
        <v>44722</v>
      </c>
      <c r="C391" s="1">
        <v>44727</v>
      </c>
      <c r="D391" s="1">
        <v>44901</v>
      </c>
      <c r="E391">
        <v>4694.54</v>
      </c>
      <c r="F391">
        <f t="shared" si="19"/>
        <v>2022</v>
      </c>
      <c r="G391">
        <f t="shared" si="20"/>
        <v>2022</v>
      </c>
      <c r="H391">
        <f t="shared" si="18"/>
        <v>0</v>
      </c>
    </row>
    <row r="392" spans="1:8" x14ac:dyDescent="0.25">
      <c r="A392" t="s">
        <v>2444</v>
      </c>
      <c r="B392" s="1">
        <v>44495</v>
      </c>
      <c r="C392" s="1">
        <v>44530</v>
      </c>
      <c r="D392" s="1">
        <v>44827</v>
      </c>
      <c r="E392">
        <v>32861.83</v>
      </c>
      <c r="F392">
        <f t="shared" si="19"/>
        <v>2021</v>
      </c>
      <c r="G392">
        <f t="shared" si="20"/>
        <v>2022</v>
      </c>
      <c r="H392">
        <f t="shared" si="18"/>
        <v>1</v>
      </c>
    </row>
    <row r="393" spans="1:8" x14ac:dyDescent="0.25">
      <c r="A393" t="s">
        <v>2465</v>
      </c>
      <c r="B393" s="1">
        <v>45614</v>
      </c>
      <c r="C393" s="1">
        <v>45635</v>
      </c>
      <c r="D393" s="1">
        <v>45669</v>
      </c>
      <c r="E393">
        <v>44757.77</v>
      </c>
      <c r="F393">
        <f t="shared" si="19"/>
        <v>2024</v>
      </c>
      <c r="G393">
        <f t="shared" si="20"/>
        <v>2025</v>
      </c>
      <c r="H393">
        <f t="shared" si="18"/>
        <v>1</v>
      </c>
    </row>
    <row r="394" spans="1:8" x14ac:dyDescent="0.25">
      <c r="A394" t="s">
        <v>2466</v>
      </c>
      <c r="B394" s="1">
        <v>44654</v>
      </c>
      <c r="D394" s="1">
        <v>44682</v>
      </c>
      <c r="E394">
        <v>47086.33</v>
      </c>
      <c r="F394">
        <f t="shared" si="19"/>
        <v>2022</v>
      </c>
      <c r="G394">
        <f t="shared" si="20"/>
        <v>2022</v>
      </c>
      <c r="H394">
        <f t="shared" si="18"/>
        <v>0</v>
      </c>
    </row>
    <row r="395" spans="1:8" x14ac:dyDescent="0.25">
      <c r="A395" t="s">
        <v>2467</v>
      </c>
      <c r="B395" s="1">
        <v>45111</v>
      </c>
      <c r="C395" s="1">
        <v>45190</v>
      </c>
      <c r="D395" s="1">
        <v>45538</v>
      </c>
      <c r="E395">
        <v>45484.23</v>
      </c>
      <c r="F395">
        <f t="shared" si="19"/>
        <v>2023</v>
      </c>
      <c r="G395">
        <f t="shared" si="20"/>
        <v>2024</v>
      </c>
      <c r="H395">
        <f t="shared" si="18"/>
        <v>1</v>
      </c>
    </row>
    <row r="396" spans="1:8" x14ac:dyDescent="0.25">
      <c r="A396" t="s">
        <v>2243</v>
      </c>
      <c r="B396" s="1">
        <v>44141</v>
      </c>
      <c r="C396" s="1">
        <v>44207</v>
      </c>
      <c r="D396" s="1">
        <v>44940</v>
      </c>
      <c r="E396">
        <v>62790.14</v>
      </c>
      <c r="F396">
        <f t="shared" si="19"/>
        <v>2020</v>
      </c>
      <c r="G396">
        <f t="shared" si="20"/>
        <v>2023</v>
      </c>
      <c r="H396">
        <f t="shared" si="18"/>
        <v>3</v>
      </c>
    </row>
    <row r="397" spans="1:8" x14ac:dyDescent="0.25">
      <c r="A397" t="s">
        <v>2468</v>
      </c>
      <c r="B397" s="1">
        <v>44632</v>
      </c>
      <c r="C397" s="1">
        <v>44641</v>
      </c>
      <c r="D397" s="1">
        <v>44780</v>
      </c>
      <c r="E397">
        <v>32422.16</v>
      </c>
      <c r="F397">
        <f t="shared" si="19"/>
        <v>2022</v>
      </c>
      <c r="G397">
        <f t="shared" si="20"/>
        <v>2022</v>
      </c>
      <c r="H397">
        <f t="shared" si="18"/>
        <v>0</v>
      </c>
    </row>
    <row r="398" spans="1:8" x14ac:dyDescent="0.25">
      <c r="A398" t="s">
        <v>2469</v>
      </c>
      <c r="B398" s="1">
        <v>44075</v>
      </c>
      <c r="C398" s="1">
        <v>44145</v>
      </c>
      <c r="D398" s="1">
        <v>44264</v>
      </c>
      <c r="E398">
        <v>74390.95</v>
      </c>
      <c r="F398">
        <f t="shared" si="19"/>
        <v>2020</v>
      </c>
      <c r="G398">
        <f t="shared" si="20"/>
        <v>2021</v>
      </c>
      <c r="H398">
        <f t="shared" si="18"/>
        <v>1</v>
      </c>
    </row>
    <row r="399" spans="1:8" x14ac:dyDescent="0.25">
      <c r="A399" t="s">
        <v>2224</v>
      </c>
      <c r="B399" s="1">
        <v>45192</v>
      </c>
      <c r="C399" s="1">
        <v>45256</v>
      </c>
      <c r="D399" s="1">
        <v>45592</v>
      </c>
      <c r="E399">
        <v>83630.11</v>
      </c>
      <c r="F399">
        <f t="shared" si="19"/>
        <v>2023</v>
      </c>
      <c r="G399">
        <f t="shared" si="20"/>
        <v>2024</v>
      </c>
      <c r="H399">
        <f t="shared" si="18"/>
        <v>1</v>
      </c>
    </row>
    <row r="400" spans="1:8" x14ac:dyDescent="0.25">
      <c r="A400" t="s">
        <v>2470</v>
      </c>
      <c r="B400" s="1">
        <v>44894</v>
      </c>
      <c r="C400" s="1">
        <v>44936</v>
      </c>
      <c r="D400" s="1">
        <v>45270</v>
      </c>
      <c r="E400">
        <v>19616.88</v>
      </c>
      <c r="F400">
        <f t="shared" si="19"/>
        <v>2022</v>
      </c>
      <c r="G400">
        <f t="shared" si="20"/>
        <v>2023</v>
      </c>
      <c r="H400">
        <f t="shared" si="18"/>
        <v>1</v>
      </c>
    </row>
    <row r="401" spans="1:8" x14ac:dyDescent="0.25">
      <c r="A401" t="s">
        <v>2411</v>
      </c>
      <c r="B401" s="1">
        <v>44442</v>
      </c>
      <c r="C401" s="1">
        <v>44482</v>
      </c>
      <c r="D401" s="1">
        <v>44661</v>
      </c>
      <c r="E401">
        <v>79238.720000000001</v>
      </c>
      <c r="F401">
        <f t="shared" si="19"/>
        <v>2021</v>
      </c>
      <c r="G401">
        <f t="shared" si="20"/>
        <v>2022</v>
      </c>
      <c r="H401">
        <f t="shared" si="18"/>
        <v>1</v>
      </c>
    </row>
    <row r="402" spans="1:8" x14ac:dyDescent="0.25">
      <c r="A402" t="s">
        <v>2252</v>
      </c>
      <c r="B402" s="1">
        <v>43950</v>
      </c>
      <c r="C402" s="1">
        <v>44010</v>
      </c>
      <c r="D402" s="1">
        <v>44124</v>
      </c>
      <c r="E402">
        <v>15418.22</v>
      </c>
      <c r="F402">
        <f t="shared" si="19"/>
        <v>2020</v>
      </c>
      <c r="G402">
        <f t="shared" si="20"/>
        <v>2020</v>
      </c>
      <c r="H402">
        <f t="shared" si="18"/>
        <v>0</v>
      </c>
    </row>
    <row r="403" spans="1:8" x14ac:dyDescent="0.25">
      <c r="A403" t="s">
        <v>2453</v>
      </c>
      <c r="B403" s="1">
        <v>44872</v>
      </c>
      <c r="C403" s="1">
        <v>44960</v>
      </c>
      <c r="D403" s="1">
        <v>45190</v>
      </c>
      <c r="E403">
        <v>41226.559999999998</v>
      </c>
      <c r="F403">
        <f t="shared" si="19"/>
        <v>2022</v>
      </c>
      <c r="G403">
        <f t="shared" si="20"/>
        <v>2023</v>
      </c>
      <c r="H403">
        <f t="shared" si="18"/>
        <v>1</v>
      </c>
    </row>
    <row r="404" spans="1:8" x14ac:dyDescent="0.25">
      <c r="A404" t="s">
        <v>2347</v>
      </c>
      <c r="B404" s="1">
        <v>45130</v>
      </c>
      <c r="C404" s="1">
        <v>45189</v>
      </c>
      <c r="D404" s="1">
        <v>45427</v>
      </c>
      <c r="E404">
        <v>64580.85</v>
      </c>
      <c r="F404">
        <f t="shared" si="19"/>
        <v>2023</v>
      </c>
      <c r="G404">
        <f t="shared" si="20"/>
        <v>2024</v>
      </c>
      <c r="H404">
        <f t="shared" si="18"/>
        <v>1</v>
      </c>
    </row>
    <row r="405" spans="1:8" x14ac:dyDescent="0.25">
      <c r="A405" t="s">
        <v>2471</v>
      </c>
      <c r="B405" s="1">
        <v>44489</v>
      </c>
      <c r="C405" s="1">
        <v>44552</v>
      </c>
      <c r="D405" s="1">
        <v>44735</v>
      </c>
      <c r="E405">
        <v>17808</v>
      </c>
      <c r="F405">
        <f t="shared" si="19"/>
        <v>2021</v>
      </c>
      <c r="G405">
        <f t="shared" si="20"/>
        <v>2022</v>
      </c>
      <c r="H405">
        <f t="shared" si="18"/>
        <v>1</v>
      </c>
    </row>
    <row r="406" spans="1:8" x14ac:dyDescent="0.25">
      <c r="A406" t="s">
        <v>2318</v>
      </c>
      <c r="B406" s="1">
        <v>44534</v>
      </c>
      <c r="C406" s="1">
        <v>44562</v>
      </c>
      <c r="D406" s="1">
        <v>44832</v>
      </c>
      <c r="E406">
        <v>20756.32</v>
      </c>
      <c r="F406">
        <f t="shared" si="19"/>
        <v>2021</v>
      </c>
      <c r="G406">
        <f t="shared" si="20"/>
        <v>2022</v>
      </c>
      <c r="H406">
        <f t="shared" si="18"/>
        <v>1</v>
      </c>
    </row>
    <row r="407" spans="1:8" x14ac:dyDescent="0.25">
      <c r="A407" t="s">
        <v>2472</v>
      </c>
      <c r="B407" s="1">
        <v>43903</v>
      </c>
      <c r="C407" s="1">
        <v>43983</v>
      </c>
      <c r="D407" s="1">
        <v>44323</v>
      </c>
      <c r="E407">
        <v>60647.03</v>
      </c>
      <c r="F407">
        <f t="shared" si="19"/>
        <v>2020</v>
      </c>
      <c r="G407">
        <f t="shared" si="20"/>
        <v>2021</v>
      </c>
      <c r="H407">
        <f t="shared" si="18"/>
        <v>1</v>
      </c>
    </row>
    <row r="408" spans="1:8" x14ac:dyDescent="0.25">
      <c r="A408" t="s">
        <v>2473</v>
      </c>
      <c r="B408" s="1">
        <v>44340</v>
      </c>
      <c r="C408" s="1">
        <v>44347</v>
      </c>
      <c r="D408" s="1">
        <v>44499</v>
      </c>
      <c r="E408">
        <v>14159.1</v>
      </c>
      <c r="F408">
        <f t="shared" si="19"/>
        <v>2021</v>
      </c>
      <c r="G408">
        <f t="shared" si="20"/>
        <v>2021</v>
      </c>
      <c r="H408">
        <f t="shared" si="18"/>
        <v>0</v>
      </c>
    </row>
    <row r="409" spans="1:8" x14ac:dyDescent="0.25">
      <c r="A409" t="s">
        <v>2463</v>
      </c>
      <c r="B409" s="1">
        <v>44385</v>
      </c>
      <c r="C409" s="1">
        <v>44419</v>
      </c>
      <c r="D409" s="1">
        <v>44524</v>
      </c>
      <c r="E409">
        <v>-19688.34</v>
      </c>
      <c r="F409">
        <f t="shared" si="19"/>
        <v>2021</v>
      </c>
      <c r="G409">
        <f t="shared" si="20"/>
        <v>2021</v>
      </c>
      <c r="H409">
        <f t="shared" si="18"/>
        <v>0</v>
      </c>
    </row>
    <row r="410" spans="1:8" x14ac:dyDescent="0.25">
      <c r="A410" t="s">
        <v>2474</v>
      </c>
      <c r="B410" s="1">
        <v>44019</v>
      </c>
      <c r="C410" s="1">
        <v>44065</v>
      </c>
      <c r="D410" s="1">
        <v>44200</v>
      </c>
      <c r="E410">
        <v>-13392.52</v>
      </c>
      <c r="F410">
        <f t="shared" si="19"/>
        <v>2020</v>
      </c>
      <c r="G410">
        <f t="shared" si="20"/>
        <v>2021</v>
      </c>
      <c r="H410">
        <f t="shared" si="18"/>
        <v>1</v>
      </c>
    </row>
    <row r="411" spans="1:8" x14ac:dyDescent="0.25">
      <c r="A411" t="s">
        <v>2475</v>
      </c>
      <c r="B411" s="1">
        <v>44103</v>
      </c>
      <c r="C411" s="1">
        <v>44128</v>
      </c>
      <c r="D411" s="1">
        <v>44239</v>
      </c>
      <c r="E411">
        <v>-2572.17</v>
      </c>
      <c r="F411">
        <f t="shared" si="19"/>
        <v>2020</v>
      </c>
      <c r="G411">
        <f t="shared" si="20"/>
        <v>2021</v>
      </c>
      <c r="H411">
        <f t="shared" si="18"/>
        <v>1</v>
      </c>
    </row>
    <row r="412" spans="1:8" x14ac:dyDescent="0.25">
      <c r="A412" t="s">
        <v>2476</v>
      </c>
      <c r="B412" s="1">
        <v>44283</v>
      </c>
      <c r="D412" s="1">
        <v>44463</v>
      </c>
      <c r="E412">
        <v>42622.07</v>
      </c>
      <c r="F412">
        <f t="shared" si="19"/>
        <v>2021</v>
      </c>
      <c r="G412">
        <f t="shared" si="20"/>
        <v>2021</v>
      </c>
      <c r="H412">
        <f t="shared" si="18"/>
        <v>0</v>
      </c>
    </row>
    <row r="413" spans="1:8" x14ac:dyDescent="0.25">
      <c r="A413" t="s">
        <v>2477</v>
      </c>
      <c r="B413" s="1">
        <v>45089</v>
      </c>
      <c r="C413" s="1">
        <v>45149</v>
      </c>
      <c r="D413" s="1">
        <v>45475</v>
      </c>
      <c r="E413">
        <v>50990.26</v>
      </c>
      <c r="F413">
        <f t="shared" si="19"/>
        <v>2023</v>
      </c>
      <c r="G413">
        <f t="shared" si="20"/>
        <v>2024</v>
      </c>
      <c r="H413">
        <f t="shared" si="18"/>
        <v>1</v>
      </c>
    </row>
    <row r="414" spans="1:8" x14ac:dyDescent="0.25">
      <c r="A414" t="s">
        <v>2478</v>
      </c>
      <c r="B414" s="1">
        <v>44285</v>
      </c>
      <c r="C414" s="1">
        <v>44329</v>
      </c>
      <c r="D414" s="1">
        <v>44482</v>
      </c>
      <c r="E414">
        <v>58742.35</v>
      </c>
      <c r="F414">
        <f t="shared" si="19"/>
        <v>2021</v>
      </c>
      <c r="G414">
        <f t="shared" si="20"/>
        <v>2021</v>
      </c>
      <c r="H414">
        <f t="shared" si="18"/>
        <v>0</v>
      </c>
    </row>
    <row r="415" spans="1:8" x14ac:dyDescent="0.25">
      <c r="A415" t="s">
        <v>2286</v>
      </c>
      <c r="B415" s="1">
        <v>45110</v>
      </c>
      <c r="C415" s="1">
        <v>45118</v>
      </c>
      <c r="D415" s="1">
        <v>45216</v>
      </c>
      <c r="E415">
        <v>65438.2</v>
      </c>
      <c r="F415">
        <f t="shared" si="19"/>
        <v>2023</v>
      </c>
      <c r="G415">
        <f t="shared" si="20"/>
        <v>2023</v>
      </c>
      <c r="H415">
        <f t="shared" si="18"/>
        <v>0</v>
      </c>
    </row>
    <row r="416" spans="1:8" x14ac:dyDescent="0.25">
      <c r="A416" t="s">
        <v>2479</v>
      </c>
      <c r="B416" s="1">
        <v>44797</v>
      </c>
      <c r="C416" s="1">
        <v>44840</v>
      </c>
      <c r="D416" s="1">
        <v>44880</v>
      </c>
      <c r="E416">
        <v>-15635.45</v>
      </c>
      <c r="F416">
        <f t="shared" si="19"/>
        <v>2022</v>
      </c>
      <c r="G416">
        <f t="shared" si="20"/>
        <v>2022</v>
      </c>
      <c r="H416">
        <f t="shared" si="18"/>
        <v>0</v>
      </c>
    </row>
    <row r="417" spans="1:8" x14ac:dyDescent="0.25">
      <c r="A417" t="s">
        <v>2323</v>
      </c>
      <c r="B417" s="1">
        <v>44653</v>
      </c>
      <c r="C417" s="1">
        <v>44688</v>
      </c>
      <c r="D417" s="1">
        <v>44903</v>
      </c>
      <c r="E417">
        <v>-16600.93</v>
      </c>
      <c r="F417">
        <f t="shared" si="19"/>
        <v>2022</v>
      </c>
      <c r="G417">
        <f t="shared" si="20"/>
        <v>2022</v>
      </c>
      <c r="H417">
        <f t="shared" si="18"/>
        <v>0</v>
      </c>
    </row>
    <row r="418" spans="1:8" x14ac:dyDescent="0.25">
      <c r="A418" t="s">
        <v>2480</v>
      </c>
      <c r="B418" s="1">
        <v>44748</v>
      </c>
      <c r="C418" s="1">
        <v>44752</v>
      </c>
      <c r="D418" s="1">
        <v>45174</v>
      </c>
      <c r="E418">
        <v>44043.1</v>
      </c>
      <c r="F418">
        <f t="shared" si="19"/>
        <v>2022</v>
      </c>
      <c r="G418">
        <f t="shared" si="20"/>
        <v>2023</v>
      </c>
      <c r="H418">
        <f t="shared" si="18"/>
        <v>1</v>
      </c>
    </row>
    <row r="419" spans="1:8" x14ac:dyDescent="0.25">
      <c r="A419" t="s">
        <v>2431</v>
      </c>
      <c r="B419" s="1">
        <v>45349</v>
      </c>
      <c r="C419" s="1">
        <v>45397</v>
      </c>
      <c r="D419" s="1">
        <v>45622</v>
      </c>
      <c r="E419">
        <v>60409.04</v>
      </c>
      <c r="F419">
        <f t="shared" si="19"/>
        <v>2024</v>
      </c>
      <c r="G419">
        <f t="shared" si="20"/>
        <v>2024</v>
      </c>
      <c r="H419">
        <f t="shared" si="18"/>
        <v>0</v>
      </c>
    </row>
    <row r="420" spans="1:8" x14ac:dyDescent="0.25">
      <c r="A420" t="s">
        <v>2208</v>
      </c>
      <c r="B420" s="1">
        <v>44368</v>
      </c>
      <c r="D420" s="1">
        <v>44519</v>
      </c>
      <c r="E420">
        <v>15436.23</v>
      </c>
      <c r="F420">
        <f t="shared" si="19"/>
        <v>2021</v>
      </c>
      <c r="G420">
        <f t="shared" si="20"/>
        <v>2021</v>
      </c>
      <c r="H420">
        <f t="shared" si="18"/>
        <v>0</v>
      </c>
    </row>
    <row r="421" spans="1:8" x14ac:dyDescent="0.25">
      <c r="A421" t="s">
        <v>2481</v>
      </c>
      <c r="B421" s="1">
        <v>43839</v>
      </c>
      <c r="C421" s="1">
        <v>43850</v>
      </c>
      <c r="D421" s="1">
        <v>44038</v>
      </c>
      <c r="E421">
        <v>-1405.13</v>
      </c>
      <c r="F421">
        <f t="shared" si="19"/>
        <v>2020</v>
      </c>
      <c r="G421">
        <f t="shared" si="20"/>
        <v>2020</v>
      </c>
      <c r="H421">
        <f t="shared" si="18"/>
        <v>0</v>
      </c>
    </row>
    <row r="422" spans="1:8" x14ac:dyDescent="0.25">
      <c r="A422" t="s">
        <v>2319</v>
      </c>
      <c r="B422" s="1">
        <v>44934</v>
      </c>
      <c r="C422" s="1">
        <v>45004</v>
      </c>
      <c r="D422" s="1">
        <v>45471</v>
      </c>
      <c r="E422">
        <v>49474.74</v>
      </c>
      <c r="F422">
        <f t="shared" si="19"/>
        <v>2023</v>
      </c>
      <c r="G422">
        <f t="shared" si="20"/>
        <v>2024</v>
      </c>
      <c r="H422">
        <f t="shared" si="18"/>
        <v>1</v>
      </c>
    </row>
    <row r="423" spans="1:8" x14ac:dyDescent="0.25">
      <c r="A423" t="s">
        <v>2482</v>
      </c>
      <c r="B423" s="1">
        <v>45447</v>
      </c>
      <c r="C423" s="1">
        <v>45481</v>
      </c>
      <c r="D423" s="1">
        <v>45768</v>
      </c>
      <c r="E423">
        <v>82849.5</v>
      </c>
      <c r="F423">
        <f t="shared" si="19"/>
        <v>2024</v>
      </c>
      <c r="G423">
        <f t="shared" si="20"/>
        <v>2025</v>
      </c>
      <c r="H423">
        <f t="shared" si="18"/>
        <v>1</v>
      </c>
    </row>
    <row r="424" spans="1:8" x14ac:dyDescent="0.25">
      <c r="A424" t="s">
        <v>2249</v>
      </c>
      <c r="B424" s="1">
        <v>44294</v>
      </c>
      <c r="C424" s="1">
        <v>44304</v>
      </c>
      <c r="D424" s="1">
        <v>44528</v>
      </c>
      <c r="E424">
        <v>63535.69</v>
      </c>
      <c r="F424">
        <f t="shared" si="19"/>
        <v>2021</v>
      </c>
      <c r="G424">
        <f t="shared" si="20"/>
        <v>2021</v>
      </c>
      <c r="H424">
        <f t="shared" si="18"/>
        <v>0</v>
      </c>
    </row>
    <row r="425" spans="1:8" x14ac:dyDescent="0.25">
      <c r="A425" t="s">
        <v>2199</v>
      </c>
      <c r="B425" s="1">
        <v>44217</v>
      </c>
      <c r="C425" s="1">
        <v>44288</v>
      </c>
      <c r="D425" s="1">
        <v>44460</v>
      </c>
      <c r="E425">
        <v>37323.949999999997</v>
      </c>
      <c r="F425">
        <f t="shared" si="19"/>
        <v>2021</v>
      </c>
      <c r="G425">
        <f t="shared" si="20"/>
        <v>2021</v>
      </c>
      <c r="H425">
        <f t="shared" si="18"/>
        <v>0</v>
      </c>
    </row>
    <row r="426" spans="1:8" x14ac:dyDescent="0.25">
      <c r="A426" t="s">
        <v>2483</v>
      </c>
      <c r="B426" s="1">
        <v>45018</v>
      </c>
      <c r="C426" s="1">
        <v>45080</v>
      </c>
      <c r="D426" s="1">
        <v>45335</v>
      </c>
      <c r="E426">
        <v>55977.440000000002</v>
      </c>
      <c r="F426">
        <f t="shared" si="19"/>
        <v>2023</v>
      </c>
      <c r="G426">
        <f t="shared" si="20"/>
        <v>2024</v>
      </c>
      <c r="H426">
        <f t="shared" si="18"/>
        <v>1</v>
      </c>
    </row>
    <row r="427" spans="1:8" x14ac:dyDescent="0.25">
      <c r="A427" t="s">
        <v>2453</v>
      </c>
      <c r="B427" s="1">
        <v>44872</v>
      </c>
      <c r="C427" s="1">
        <v>44960</v>
      </c>
      <c r="D427" s="1">
        <v>45027</v>
      </c>
      <c r="E427">
        <v>25958.15</v>
      </c>
      <c r="F427">
        <f t="shared" si="19"/>
        <v>2022</v>
      </c>
      <c r="G427">
        <f t="shared" si="20"/>
        <v>2023</v>
      </c>
      <c r="H427">
        <f t="shared" si="18"/>
        <v>1</v>
      </c>
    </row>
    <row r="428" spans="1:8" x14ac:dyDescent="0.25">
      <c r="A428" t="s">
        <v>2421</v>
      </c>
      <c r="B428" s="1">
        <v>44801</v>
      </c>
      <c r="C428" s="1">
        <v>44810</v>
      </c>
      <c r="D428" s="1">
        <v>44878</v>
      </c>
      <c r="E428">
        <v>53862.64</v>
      </c>
      <c r="F428">
        <f t="shared" si="19"/>
        <v>2022</v>
      </c>
      <c r="G428">
        <f t="shared" si="20"/>
        <v>2022</v>
      </c>
      <c r="H428">
        <f t="shared" si="18"/>
        <v>0</v>
      </c>
    </row>
    <row r="429" spans="1:8" x14ac:dyDescent="0.25">
      <c r="A429" t="s">
        <v>2355</v>
      </c>
      <c r="B429" s="1">
        <v>44272</v>
      </c>
      <c r="C429" s="1">
        <v>44338</v>
      </c>
      <c r="D429" s="1">
        <v>44465</v>
      </c>
      <c r="E429">
        <v>71152.259999999995</v>
      </c>
      <c r="F429">
        <f t="shared" si="19"/>
        <v>2021</v>
      </c>
      <c r="G429">
        <f t="shared" si="20"/>
        <v>2021</v>
      </c>
      <c r="H429">
        <f t="shared" si="18"/>
        <v>0</v>
      </c>
    </row>
    <row r="430" spans="1:8" x14ac:dyDescent="0.25">
      <c r="A430" t="s">
        <v>2419</v>
      </c>
      <c r="B430" s="1">
        <v>44186</v>
      </c>
      <c r="C430" s="1">
        <v>44254</v>
      </c>
      <c r="D430" s="1">
        <v>44547</v>
      </c>
      <c r="E430">
        <v>78001.17</v>
      </c>
      <c r="F430">
        <f t="shared" si="19"/>
        <v>2020</v>
      </c>
      <c r="G430">
        <f t="shared" si="20"/>
        <v>2021</v>
      </c>
      <c r="H430">
        <f t="shared" si="18"/>
        <v>1</v>
      </c>
    </row>
    <row r="431" spans="1:8" x14ac:dyDescent="0.25">
      <c r="A431" t="s">
        <v>2474</v>
      </c>
      <c r="B431" s="1">
        <v>44019</v>
      </c>
      <c r="C431" s="1">
        <v>44065</v>
      </c>
      <c r="D431" s="1">
        <v>44304</v>
      </c>
      <c r="E431">
        <v>27448.29</v>
      </c>
      <c r="F431">
        <f t="shared" si="19"/>
        <v>2020</v>
      </c>
      <c r="G431">
        <f t="shared" si="20"/>
        <v>2021</v>
      </c>
      <c r="H431">
        <f t="shared" si="18"/>
        <v>1</v>
      </c>
    </row>
    <row r="432" spans="1:8" x14ac:dyDescent="0.25">
      <c r="A432" t="s">
        <v>2387</v>
      </c>
      <c r="B432" s="1">
        <v>43854</v>
      </c>
      <c r="C432" s="1">
        <v>43941</v>
      </c>
      <c r="D432" s="1">
        <v>44182</v>
      </c>
      <c r="E432">
        <v>8423.56</v>
      </c>
      <c r="F432">
        <f t="shared" si="19"/>
        <v>2020</v>
      </c>
      <c r="G432">
        <f t="shared" si="20"/>
        <v>2020</v>
      </c>
      <c r="H432">
        <f t="shared" si="18"/>
        <v>0</v>
      </c>
    </row>
    <row r="433" spans="1:8" x14ac:dyDescent="0.25">
      <c r="A433" t="s">
        <v>2484</v>
      </c>
      <c r="B433" s="1">
        <v>45290</v>
      </c>
      <c r="C433" s="1">
        <v>45310</v>
      </c>
      <c r="D433" s="1">
        <v>45780</v>
      </c>
      <c r="E433">
        <v>63529.23</v>
      </c>
      <c r="F433">
        <f t="shared" si="19"/>
        <v>2023</v>
      </c>
      <c r="G433">
        <f t="shared" si="20"/>
        <v>2025</v>
      </c>
      <c r="H433">
        <f t="shared" si="18"/>
        <v>2</v>
      </c>
    </row>
    <row r="434" spans="1:8" x14ac:dyDescent="0.25">
      <c r="A434" t="s">
        <v>2485</v>
      </c>
      <c r="B434" s="1">
        <v>45003</v>
      </c>
      <c r="C434" s="1">
        <v>45025</v>
      </c>
      <c r="D434" s="1">
        <v>45147</v>
      </c>
      <c r="E434">
        <v>-3252.84</v>
      </c>
      <c r="F434">
        <f t="shared" si="19"/>
        <v>2023</v>
      </c>
      <c r="G434">
        <f t="shared" si="20"/>
        <v>2023</v>
      </c>
      <c r="H434">
        <f t="shared" si="18"/>
        <v>0</v>
      </c>
    </row>
    <row r="435" spans="1:8" x14ac:dyDescent="0.25">
      <c r="A435" t="s">
        <v>2486</v>
      </c>
      <c r="B435" s="1">
        <v>44646</v>
      </c>
      <c r="D435" s="1">
        <v>44951</v>
      </c>
      <c r="E435">
        <v>8778.6299999999992</v>
      </c>
      <c r="F435">
        <f t="shared" si="19"/>
        <v>2022</v>
      </c>
      <c r="G435">
        <f t="shared" si="20"/>
        <v>2023</v>
      </c>
      <c r="H435">
        <f t="shared" si="18"/>
        <v>1</v>
      </c>
    </row>
    <row r="436" spans="1:8" x14ac:dyDescent="0.25">
      <c r="A436" t="s">
        <v>2278</v>
      </c>
      <c r="B436" s="1">
        <v>45342</v>
      </c>
      <c r="C436" s="1">
        <v>45431</v>
      </c>
      <c r="D436" s="1">
        <v>45747</v>
      </c>
      <c r="E436">
        <v>26143.61</v>
      </c>
      <c r="F436">
        <f t="shared" si="19"/>
        <v>2024</v>
      </c>
      <c r="G436">
        <f t="shared" si="20"/>
        <v>2025</v>
      </c>
      <c r="H436">
        <f t="shared" si="18"/>
        <v>1</v>
      </c>
    </row>
    <row r="437" spans="1:8" x14ac:dyDescent="0.25">
      <c r="A437" t="s">
        <v>2487</v>
      </c>
      <c r="B437" s="1">
        <v>43970</v>
      </c>
      <c r="C437" s="1">
        <v>44040</v>
      </c>
      <c r="D437" s="1">
        <v>44159</v>
      </c>
      <c r="E437">
        <v>44502.37</v>
      </c>
      <c r="F437">
        <f t="shared" si="19"/>
        <v>2020</v>
      </c>
      <c r="G437">
        <f t="shared" si="20"/>
        <v>2020</v>
      </c>
      <c r="H437">
        <f t="shared" si="18"/>
        <v>0</v>
      </c>
    </row>
    <row r="438" spans="1:8" x14ac:dyDescent="0.25">
      <c r="A438" t="s">
        <v>2488</v>
      </c>
      <c r="B438" s="1">
        <v>44653</v>
      </c>
      <c r="C438" s="1">
        <v>44704</v>
      </c>
      <c r="D438" s="1">
        <v>44909</v>
      </c>
      <c r="E438">
        <v>63900.13</v>
      </c>
      <c r="F438">
        <f t="shared" si="19"/>
        <v>2022</v>
      </c>
      <c r="G438">
        <f t="shared" si="20"/>
        <v>2022</v>
      </c>
      <c r="H438">
        <f t="shared" si="18"/>
        <v>0</v>
      </c>
    </row>
    <row r="439" spans="1:8" x14ac:dyDescent="0.25">
      <c r="A439" t="s">
        <v>2489</v>
      </c>
      <c r="B439" s="1">
        <v>44641</v>
      </c>
      <c r="C439" s="1">
        <v>44720</v>
      </c>
      <c r="D439" s="1">
        <v>44886</v>
      </c>
      <c r="E439">
        <v>3430.15</v>
      </c>
      <c r="F439">
        <f t="shared" si="19"/>
        <v>2022</v>
      </c>
      <c r="G439">
        <f t="shared" si="20"/>
        <v>2022</v>
      </c>
      <c r="H439">
        <f t="shared" si="18"/>
        <v>0</v>
      </c>
    </row>
    <row r="440" spans="1:8" x14ac:dyDescent="0.25">
      <c r="A440" t="s">
        <v>2490</v>
      </c>
      <c r="B440" s="1">
        <v>45025</v>
      </c>
      <c r="C440" s="1">
        <v>45073</v>
      </c>
      <c r="D440" s="1">
        <v>45003</v>
      </c>
      <c r="E440">
        <v>84946.4</v>
      </c>
      <c r="F440">
        <f t="shared" si="19"/>
        <v>2023</v>
      </c>
      <c r="G440">
        <f t="shared" si="20"/>
        <v>2023</v>
      </c>
      <c r="H440">
        <f t="shared" si="18"/>
        <v>0</v>
      </c>
    </row>
    <row r="441" spans="1:8" x14ac:dyDescent="0.25">
      <c r="A441" t="s">
        <v>2266</v>
      </c>
      <c r="B441" s="1">
        <v>45150</v>
      </c>
      <c r="C441" s="1">
        <v>45184</v>
      </c>
      <c r="D441" s="1">
        <v>45521</v>
      </c>
      <c r="E441">
        <v>63254.84</v>
      </c>
      <c r="F441">
        <f t="shared" si="19"/>
        <v>2023</v>
      </c>
      <c r="G441">
        <f t="shared" si="20"/>
        <v>2024</v>
      </c>
      <c r="H441">
        <f t="shared" si="18"/>
        <v>1</v>
      </c>
    </row>
    <row r="442" spans="1:8" x14ac:dyDescent="0.25">
      <c r="A442" t="s">
        <v>2491</v>
      </c>
      <c r="B442" s="1">
        <v>45313</v>
      </c>
      <c r="C442" s="1">
        <v>45335</v>
      </c>
      <c r="D442" s="1">
        <v>45378</v>
      </c>
      <c r="E442">
        <v>-14901.91</v>
      </c>
      <c r="F442">
        <f t="shared" si="19"/>
        <v>2024</v>
      </c>
      <c r="G442">
        <f t="shared" si="20"/>
        <v>2024</v>
      </c>
      <c r="H442">
        <f t="shared" si="18"/>
        <v>0</v>
      </c>
    </row>
    <row r="443" spans="1:8" x14ac:dyDescent="0.25">
      <c r="A443" t="s">
        <v>2492</v>
      </c>
      <c r="B443" s="1">
        <v>44136</v>
      </c>
      <c r="C443" s="1">
        <v>44158</v>
      </c>
      <c r="D443" s="1">
        <v>44438</v>
      </c>
      <c r="E443">
        <v>5835.25</v>
      </c>
      <c r="F443">
        <f t="shared" si="19"/>
        <v>2020</v>
      </c>
      <c r="G443">
        <f t="shared" si="20"/>
        <v>2021</v>
      </c>
      <c r="H443">
        <f t="shared" si="18"/>
        <v>1</v>
      </c>
    </row>
    <row r="444" spans="1:8" x14ac:dyDescent="0.25">
      <c r="A444" t="s">
        <v>2493</v>
      </c>
      <c r="B444" s="1">
        <v>44449</v>
      </c>
      <c r="C444" s="1">
        <v>44530</v>
      </c>
      <c r="D444" s="1">
        <v>44930</v>
      </c>
      <c r="E444">
        <v>67671.820000000007</v>
      </c>
      <c r="F444">
        <f t="shared" si="19"/>
        <v>2021</v>
      </c>
      <c r="G444">
        <f t="shared" si="20"/>
        <v>2023</v>
      </c>
      <c r="H444">
        <f t="shared" si="18"/>
        <v>2</v>
      </c>
    </row>
    <row r="445" spans="1:8" x14ac:dyDescent="0.25">
      <c r="A445" t="s">
        <v>2457</v>
      </c>
      <c r="B445" s="1">
        <v>44210</v>
      </c>
      <c r="C445" s="1">
        <v>44299</v>
      </c>
      <c r="D445" s="1">
        <v>44601</v>
      </c>
      <c r="E445">
        <v>66173.710000000006</v>
      </c>
      <c r="F445">
        <f t="shared" si="19"/>
        <v>2021</v>
      </c>
      <c r="G445">
        <f t="shared" si="20"/>
        <v>2022</v>
      </c>
      <c r="H445">
        <f t="shared" si="18"/>
        <v>1</v>
      </c>
    </row>
    <row r="446" spans="1:8" x14ac:dyDescent="0.25">
      <c r="A446" t="s">
        <v>2494</v>
      </c>
      <c r="B446" s="1">
        <v>45099</v>
      </c>
      <c r="C446" s="1">
        <v>45157</v>
      </c>
      <c r="D446" s="1">
        <v>45238</v>
      </c>
      <c r="E446">
        <v>16518.95</v>
      </c>
      <c r="F446">
        <f t="shared" si="19"/>
        <v>2023</v>
      </c>
      <c r="G446">
        <f t="shared" si="20"/>
        <v>2023</v>
      </c>
      <c r="H446">
        <f t="shared" si="18"/>
        <v>0</v>
      </c>
    </row>
    <row r="447" spans="1:8" x14ac:dyDescent="0.25">
      <c r="A447" t="s">
        <v>2495</v>
      </c>
      <c r="B447" s="1">
        <v>44683</v>
      </c>
      <c r="C447" s="1">
        <v>44706</v>
      </c>
      <c r="D447" s="1">
        <v>44978</v>
      </c>
      <c r="E447">
        <v>-12450.55</v>
      </c>
      <c r="F447">
        <f t="shared" si="19"/>
        <v>2022</v>
      </c>
      <c r="G447">
        <f t="shared" si="20"/>
        <v>2023</v>
      </c>
      <c r="H447">
        <f t="shared" si="18"/>
        <v>1</v>
      </c>
    </row>
    <row r="448" spans="1:8" x14ac:dyDescent="0.25">
      <c r="A448" t="s">
        <v>2496</v>
      </c>
      <c r="B448" s="1">
        <v>44687</v>
      </c>
      <c r="C448" s="1">
        <v>44738</v>
      </c>
      <c r="D448" s="1">
        <v>44989</v>
      </c>
      <c r="E448">
        <v>82349.919999999998</v>
      </c>
      <c r="F448">
        <f t="shared" si="19"/>
        <v>2022</v>
      </c>
      <c r="G448">
        <f t="shared" si="20"/>
        <v>2023</v>
      </c>
      <c r="H448">
        <f t="shared" si="18"/>
        <v>1</v>
      </c>
    </row>
    <row r="449" spans="1:8" x14ac:dyDescent="0.25">
      <c r="A449" t="s">
        <v>2497</v>
      </c>
      <c r="B449" s="1">
        <v>43924</v>
      </c>
      <c r="C449" s="1">
        <v>43979</v>
      </c>
      <c r="D449" s="1">
        <v>44031</v>
      </c>
      <c r="E449">
        <v>68236.009999999995</v>
      </c>
      <c r="F449">
        <f t="shared" si="19"/>
        <v>2020</v>
      </c>
      <c r="G449">
        <f t="shared" si="20"/>
        <v>2020</v>
      </c>
      <c r="H449">
        <f t="shared" si="18"/>
        <v>0</v>
      </c>
    </row>
    <row r="450" spans="1:8" x14ac:dyDescent="0.25">
      <c r="A450" t="s">
        <v>2381</v>
      </c>
      <c r="B450" s="1">
        <v>45329</v>
      </c>
      <c r="C450" s="1">
        <v>45335</v>
      </c>
      <c r="D450" s="1">
        <v>45376</v>
      </c>
      <c r="E450">
        <v>42891.74</v>
      </c>
      <c r="F450">
        <f t="shared" si="19"/>
        <v>2024</v>
      </c>
      <c r="G450">
        <f t="shared" si="20"/>
        <v>2024</v>
      </c>
      <c r="H450">
        <f t="shared" ref="H450:H513" si="21">MAX(0,G450-F450)</f>
        <v>0</v>
      </c>
    </row>
    <row r="451" spans="1:8" x14ac:dyDescent="0.25">
      <c r="A451" t="s">
        <v>2498</v>
      </c>
      <c r="B451" s="1">
        <v>44990</v>
      </c>
      <c r="C451" s="1">
        <v>44998</v>
      </c>
      <c r="D451" s="1">
        <v>45420</v>
      </c>
      <c r="E451">
        <v>33893.15</v>
      </c>
      <c r="F451">
        <f t="shared" ref="F451:F514" si="22">YEAR(B451)</f>
        <v>2023</v>
      </c>
      <c r="G451">
        <f t="shared" ref="G451:G514" si="23">YEAR(D451)</f>
        <v>2024</v>
      </c>
      <c r="H451">
        <f t="shared" si="21"/>
        <v>1</v>
      </c>
    </row>
    <row r="452" spans="1:8" x14ac:dyDescent="0.25">
      <c r="A452" t="s">
        <v>2176</v>
      </c>
      <c r="B452" s="1">
        <v>43864</v>
      </c>
      <c r="C452" s="1">
        <v>43914</v>
      </c>
      <c r="D452" s="1">
        <v>44271</v>
      </c>
      <c r="E452">
        <v>-8797.18</v>
      </c>
      <c r="F452">
        <f t="shared" si="22"/>
        <v>2020</v>
      </c>
      <c r="G452">
        <f t="shared" si="23"/>
        <v>2021</v>
      </c>
      <c r="H452">
        <f t="shared" si="21"/>
        <v>1</v>
      </c>
    </row>
    <row r="453" spans="1:8" x14ac:dyDescent="0.25">
      <c r="A453" t="s">
        <v>2499</v>
      </c>
      <c r="B453" s="1">
        <v>44471</v>
      </c>
      <c r="C453" s="1">
        <v>44553</v>
      </c>
      <c r="D453" s="1">
        <v>44681</v>
      </c>
      <c r="E453">
        <v>63462.71</v>
      </c>
      <c r="F453">
        <f t="shared" si="22"/>
        <v>2021</v>
      </c>
      <c r="G453">
        <f t="shared" si="23"/>
        <v>2022</v>
      </c>
      <c r="H453">
        <f t="shared" si="21"/>
        <v>1</v>
      </c>
    </row>
    <row r="454" spans="1:8" x14ac:dyDescent="0.25">
      <c r="A454" t="s">
        <v>2500</v>
      </c>
      <c r="B454" s="1">
        <v>44614</v>
      </c>
      <c r="C454" s="1">
        <v>44628</v>
      </c>
      <c r="D454" s="1">
        <v>45087</v>
      </c>
      <c r="E454">
        <v>5377.25</v>
      </c>
      <c r="F454">
        <f t="shared" si="22"/>
        <v>2022</v>
      </c>
      <c r="G454">
        <f t="shared" si="23"/>
        <v>2023</v>
      </c>
      <c r="H454">
        <f t="shared" si="21"/>
        <v>1</v>
      </c>
    </row>
    <row r="455" spans="1:8" x14ac:dyDescent="0.25">
      <c r="A455" t="s">
        <v>2501</v>
      </c>
      <c r="B455" s="1">
        <v>45547</v>
      </c>
      <c r="C455" s="1">
        <v>45612</v>
      </c>
      <c r="D455" s="1">
        <v>45669</v>
      </c>
      <c r="E455">
        <v>-23203.37</v>
      </c>
      <c r="F455">
        <f t="shared" si="22"/>
        <v>2024</v>
      </c>
      <c r="G455">
        <f t="shared" si="23"/>
        <v>2025</v>
      </c>
      <c r="H455">
        <f t="shared" si="21"/>
        <v>1</v>
      </c>
    </row>
    <row r="456" spans="1:8" x14ac:dyDescent="0.25">
      <c r="A456" t="s">
        <v>2502</v>
      </c>
      <c r="B456" s="1">
        <v>44071</v>
      </c>
      <c r="C456" s="1">
        <v>44153</v>
      </c>
      <c r="D456" s="1">
        <v>44443</v>
      </c>
      <c r="E456">
        <v>57347.35</v>
      </c>
      <c r="F456">
        <f t="shared" si="22"/>
        <v>2020</v>
      </c>
      <c r="G456">
        <f t="shared" si="23"/>
        <v>2021</v>
      </c>
      <c r="H456">
        <f t="shared" si="21"/>
        <v>1</v>
      </c>
    </row>
    <row r="457" spans="1:8" x14ac:dyDescent="0.25">
      <c r="A457" t="s">
        <v>2503</v>
      </c>
      <c r="B457" s="1">
        <v>45424</v>
      </c>
      <c r="D457" s="1">
        <v>45794</v>
      </c>
      <c r="E457">
        <v>80910.460000000006</v>
      </c>
      <c r="F457">
        <f t="shared" si="22"/>
        <v>2024</v>
      </c>
      <c r="G457">
        <f t="shared" si="23"/>
        <v>2025</v>
      </c>
      <c r="H457">
        <f t="shared" si="21"/>
        <v>1</v>
      </c>
    </row>
    <row r="458" spans="1:8" x14ac:dyDescent="0.25">
      <c r="A458" t="s">
        <v>2176</v>
      </c>
      <c r="B458" s="1">
        <v>43864</v>
      </c>
      <c r="C458" s="1">
        <v>43914</v>
      </c>
      <c r="D458" s="1">
        <v>44091</v>
      </c>
      <c r="E458">
        <v>43098.23</v>
      </c>
      <c r="F458">
        <f t="shared" si="22"/>
        <v>2020</v>
      </c>
      <c r="G458">
        <f t="shared" si="23"/>
        <v>2020</v>
      </c>
      <c r="H458">
        <f t="shared" si="21"/>
        <v>0</v>
      </c>
    </row>
    <row r="459" spans="1:8" x14ac:dyDescent="0.25">
      <c r="A459" t="s">
        <v>2440</v>
      </c>
      <c r="B459" s="1">
        <v>45567</v>
      </c>
      <c r="C459" s="1">
        <v>45610</v>
      </c>
      <c r="D459" s="1">
        <v>45736</v>
      </c>
      <c r="E459">
        <v>41712.82</v>
      </c>
      <c r="F459">
        <f t="shared" si="22"/>
        <v>2024</v>
      </c>
      <c r="G459">
        <f t="shared" si="23"/>
        <v>2025</v>
      </c>
      <c r="H459">
        <f t="shared" si="21"/>
        <v>1</v>
      </c>
    </row>
    <row r="460" spans="1:8" x14ac:dyDescent="0.25">
      <c r="A460" t="s">
        <v>2504</v>
      </c>
      <c r="B460" s="1">
        <v>44648</v>
      </c>
      <c r="D460" s="1">
        <v>44699</v>
      </c>
      <c r="E460">
        <v>54740.45</v>
      </c>
      <c r="F460">
        <f t="shared" si="22"/>
        <v>2022</v>
      </c>
      <c r="G460">
        <f t="shared" si="23"/>
        <v>2022</v>
      </c>
      <c r="H460">
        <f t="shared" si="21"/>
        <v>0</v>
      </c>
    </row>
    <row r="461" spans="1:8" x14ac:dyDescent="0.25">
      <c r="A461" t="s">
        <v>2505</v>
      </c>
      <c r="B461" s="1">
        <v>45007</v>
      </c>
      <c r="C461" s="1">
        <v>45020</v>
      </c>
      <c r="D461" s="1">
        <v>45453</v>
      </c>
      <c r="E461">
        <v>-15356.7</v>
      </c>
      <c r="F461">
        <f t="shared" si="22"/>
        <v>2023</v>
      </c>
      <c r="G461">
        <f t="shared" si="23"/>
        <v>2024</v>
      </c>
      <c r="H461">
        <f t="shared" si="21"/>
        <v>1</v>
      </c>
    </row>
    <row r="462" spans="1:8" x14ac:dyDescent="0.25">
      <c r="A462" t="s">
        <v>2194</v>
      </c>
      <c r="B462" s="1">
        <v>45191</v>
      </c>
      <c r="C462" s="1">
        <v>45238</v>
      </c>
      <c r="D462" s="1">
        <v>45626</v>
      </c>
      <c r="E462">
        <v>54265.69</v>
      </c>
      <c r="F462">
        <f t="shared" si="22"/>
        <v>2023</v>
      </c>
      <c r="G462">
        <f t="shared" si="23"/>
        <v>2024</v>
      </c>
      <c r="H462">
        <f t="shared" si="21"/>
        <v>1</v>
      </c>
    </row>
    <row r="463" spans="1:8" x14ac:dyDescent="0.25">
      <c r="A463" t="s">
        <v>2470</v>
      </c>
      <c r="B463" s="1">
        <v>44894</v>
      </c>
      <c r="C463" s="1">
        <v>44936</v>
      </c>
      <c r="D463" s="1">
        <v>45114</v>
      </c>
      <c r="E463">
        <v>30855.119999999999</v>
      </c>
      <c r="F463">
        <f t="shared" si="22"/>
        <v>2022</v>
      </c>
      <c r="G463">
        <f t="shared" si="23"/>
        <v>2023</v>
      </c>
      <c r="H463">
        <f t="shared" si="21"/>
        <v>1</v>
      </c>
    </row>
    <row r="464" spans="1:8" x14ac:dyDescent="0.25">
      <c r="A464" t="s">
        <v>2506</v>
      </c>
      <c r="B464" s="1">
        <v>44441</v>
      </c>
      <c r="C464" s="1">
        <v>44476</v>
      </c>
      <c r="D464" s="1">
        <v>44640</v>
      </c>
      <c r="E464">
        <v>71393.56</v>
      </c>
      <c r="F464">
        <f t="shared" si="22"/>
        <v>2021</v>
      </c>
      <c r="G464">
        <f t="shared" si="23"/>
        <v>2022</v>
      </c>
      <c r="H464">
        <f t="shared" si="21"/>
        <v>1</v>
      </c>
    </row>
    <row r="465" spans="1:8" x14ac:dyDescent="0.25">
      <c r="A465" t="s">
        <v>2507</v>
      </c>
      <c r="B465" s="1">
        <v>45105</v>
      </c>
      <c r="C465" s="1">
        <v>45191</v>
      </c>
      <c r="D465" s="1">
        <v>45249</v>
      </c>
      <c r="E465">
        <v>72563.149999999994</v>
      </c>
      <c r="F465">
        <f t="shared" si="22"/>
        <v>2023</v>
      </c>
      <c r="G465">
        <f t="shared" si="23"/>
        <v>2023</v>
      </c>
      <c r="H465">
        <f t="shared" si="21"/>
        <v>0</v>
      </c>
    </row>
    <row r="466" spans="1:8" x14ac:dyDescent="0.25">
      <c r="A466" t="s">
        <v>2508</v>
      </c>
      <c r="B466" s="1">
        <v>43978</v>
      </c>
      <c r="C466" s="1">
        <v>44065</v>
      </c>
      <c r="D466" s="1">
        <v>44477</v>
      </c>
      <c r="E466">
        <v>40513.5</v>
      </c>
      <c r="F466">
        <f t="shared" si="22"/>
        <v>2020</v>
      </c>
      <c r="G466">
        <f t="shared" si="23"/>
        <v>2021</v>
      </c>
      <c r="H466">
        <f t="shared" si="21"/>
        <v>1</v>
      </c>
    </row>
    <row r="467" spans="1:8" x14ac:dyDescent="0.25">
      <c r="A467" t="s">
        <v>2509</v>
      </c>
      <c r="B467" s="1">
        <v>44117</v>
      </c>
      <c r="C467" s="1">
        <v>44192</v>
      </c>
      <c r="D467" s="1">
        <v>44329</v>
      </c>
      <c r="E467">
        <v>78193.759999999995</v>
      </c>
      <c r="F467">
        <f t="shared" si="22"/>
        <v>2020</v>
      </c>
      <c r="G467">
        <f t="shared" si="23"/>
        <v>2021</v>
      </c>
      <c r="H467">
        <f t="shared" si="21"/>
        <v>1</v>
      </c>
    </row>
    <row r="468" spans="1:8" x14ac:dyDescent="0.25">
      <c r="A468" t="s">
        <v>2510</v>
      </c>
      <c r="B468" s="1">
        <v>44684</v>
      </c>
      <c r="C468" s="1">
        <v>44773</v>
      </c>
      <c r="D468" s="1">
        <v>44791</v>
      </c>
      <c r="E468">
        <v>-24948.9</v>
      </c>
      <c r="F468">
        <f t="shared" si="22"/>
        <v>2022</v>
      </c>
      <c r="G468">
        <f t="shared" si="23"/>
        <v>2022</v>
      </c>
      <c r="H468">
        <f t="shared" si="21"/>
        <v>0</v>
      </c>
    </row>
    <row r="469" spans="1:8" x14ac:dyDescent="0.25">
      <c r="A469" t="s">
        <v>2511</v>
      </c>
      <c r="B469" s="1">
        <v>44953</v>
      </c>
      <c r="D469" s="1">
        <v>44939</v>
      </c>
      <c r="E469">
        <v>9638.17</v>
      </c>
      <c r="F469">
        <f t="shared" si="22"/>
        <v>2023</v>
      </c>
      <c r="G469">
        <f t="shared" si="23"/>
        <v>2023</v>
      </c>
      <c r="H469">
        <f t="shared" si="21"/>
        <v>0</v>
      </c>
    </row>
    <row r="470" spans="1:8" x14ac:dyDescent="0.25">
      <c r="A470" t="s">
        <v>2483</v>
      </c>
      <c r="B470" s="1">
        <v>45018</v>
      </c>
      <c r="C470" s="1">
        <v>45080</v>
      </c>
      <c r="D470" s="1">
        <v>45130</v>
      </c>
      <c r="E470">
        <v>38817.89</v>
      </c>
      <c r="F470">
        <f t="shared" si="22"/>
        <v>2023</v>
      </c>
      <c r="G470">
        <f t="shared" si="23"/>
        <v>2023</v>
      </c>
      <c r="H470">
        <f t="shared" si="21"/>
        <v>0</v>
      </c>
    </row>
    <row r="471" spans="1:8" x14ac:dyDescent="0.25">
      <c r="A471" t="s">
        <v>2512</v>
      </c>
      <c r="B471" s="1">
        <v>44561</v>
      </c>
      <c r="C471" s="1">
        <v>44569</v>
      </c>
      <c r="D471" s="1">
        <v>44742</v>
      </c>
      <c r="E471">
        <v>2978.53</v>
      </c>
      <c r="F471">
        <f t="shared" si="22"/>
        <v>2021</v>
      </c>
      <c r="G471">
        <f t="shared" si="23"/>
        <v>2022</v>
      </c>
      <c r="H471">
        <f t="shared" si="21"/>
        <v>1</v>
      </c>
    </row>
    <row r="472" spans="1:8" x14ac:dyDescent="0.25">
      <c r="A472" t="s">
        <v>2513</v>
      </c>
      <c r="B472" s="1">
        <v>44953</v>
      </c>
      <c r="C472" s="1">
        <v>45028</v>
      </c>
      <c r="D472" s="1">
        <v>45166</v>
      </c>
      <c r="E472">
        <v>26674.94</v>
      </c>
      <c r="F472">
        <f t="shared" si="22"/>
        <v>2023</v>
      </c>
      <c r="G472">
        <f t="shared" si="23"/>
        <v>2023</v>
      </c>
      <c r="H472">
        <f t="shared" si="21"/>
        <v>0</v>
      </c>
    </row>
    <row r="473" spans="1:8" x14ac:dyDescent="0.25">
      <c r="A473" t="s">
        <v>2514</v>
      </c>
      <c r="B473" s="1">
        <v>44028</v>
      </c>
      <c r="C473" s="1">
        <v>44071</v>
      </c>
      <c r="D473" s="1">
        <v>44108</v>
      </c>
      <c r="E473">
        <v>73817.320000000007</v>
      </c>
      <c r="F473">
        <f t="shared" si="22"/>
        <v>2020</v>
      </c>
      <c r="G473">
        <f t="shared" si="23"/>
        <v>2020</v>
      </c>
      <c r="H473">
        <f t="shared" si="21"/>
        <v>0</v>
      </c>
    </row>
    <row r="474" spans="1:8" x14ac:dyDescent="0.25">
      <c r="A474" t="s">
        <v>2408</v>
      </c>
      <c r="B474" s="1">
        <v>44337</v>
      </c>
      <c r="C474" s="1">
        <v>44373</v>
      </c>
      <c r="D474" s="1">
        <v>44425</v>
      </c>
      <c r="E474">
        <v>5741.61</v>
      </c>
      <c r="F474">
        <f t="shared" si="22"/>
        <v>2021</v>
      </c>
      <c r="G474">
        <f t="shared" si="23"/>
        <v>2021</v>
      </c>
      <c r="H474">
        <f t="shared" si="21"/>
        <v>0</v>
      </c>
    </row>
    <row r="475" spans="1:8" x14ac:dyDescent="0.25">
      <c r="A475" t="s">
        <v>2515</v>
      </c>
      <c r="B475" s="1">
        <v>45444</v>
      </c>
      <c r="C475" s="1">
        <v>45520</v>
      </c>
      <c r="D475" s="1">
        <v>45602</v>
      </c>
      <c r="E475">
        <v>41620.68</v>
      </c>
      <c r="F475">
        <f t="shared" si="22"/>
        <v>2024</v>
      </c>
      <c r="G475">
        <f t="shared" si="23"/>
        <v>2024</v>
      </c>
      <c r="H475">
        <f t="shared" si="21"/>
        <v>0</v>
      </c>
    </row>
    <row r="476" spans="1:8" x14ac:dyDescent="0.25">
      <c r="A476" t="s">
        <v>2516</v>
      </c>
      <c r="B476" s="1">
        <v>44340</v>
      </c>
      <c r="C476" s="1">
        <v>44376</v>
      </c>
      <c r="D476" s="1">
        <v>44693</v>
      </c>
      <c r="E476">
        <v>54700.92</v>
      </c>
      <c r="F476">
        <f t="shared" si="22"/>
        <v>2021</v>
      </c>
      <c r="G476">
        <f t="shared" si="23"/>
        <v>2022</v>
      </c>
      <c r="H476">
        <f t="shared" si="21"/>
        <v>1</v>
      </c>
    </row>
    <row r="477" spans="1:8" x14ac:dyDescent="0.25">
      <c r="A477" t="s">
        <v>2517</v>
      </c>
      <c r="B477" s="1">
        <v>44628</v>
      </c>
      <c r="C477" s="1">
        <v>44691</v>
      </c>
      <c r="D477" s="1">
        <v>44864</v>
      </c>
      <c r="E477">
        <v>68435.8</v>
      </c>
      <c r="F477">
        <f t="shared" si="22"/>
        <v>2022</v>
      </c>
      <c r="G477">
        <f t="shared" si="23"/>
        <v>2022</v>
      </c>
      <c r="H477">
        <f t="shared" si="21"/>
        <v>0</v>
      </c>
    </row>
    <row r="478" spans="1:8" x14ac:dyDescent="0.25">
      <c r="A478" t="s">
        <v>2518</v>
      </c>
      <c r="B478" s="1">
        <v>44574</v>
      </c>
      <c r="D478" s="1">
        <v>44679</v>
      </c>
      <c r="E478">
        <v>64371.22</v>
      </c>
      <c r="F478">
        <f t="shared" si="22"/>
        <v>2022</v>
      </c>
      <c r="G478">
        <f t="shared" si="23"/>
        <v>2022</v>
      </c>
      <c r="H478">
        <f t="shared" si="21"/>
        <v>0</v>
      </c>
    </row>
    <row r="479" spans="1:8" x14ac:dyDescent="0.25">
      <c r="A479" t="s">
        <v>2237</v>
      </c>
      <c r="B479" s="1">
        <v>45411</v>
      </c>
      <c r="C479" s="1">
        <v>45414</v>
      </c>
      <c r="D479" s="1">
        <v>45695</v>
      </c>
      <c r="E479">
        <v>16028.37</v>
      </c>
      <c r="F479">
        <f t="shared" si="22"/>
        <v>2024</v>
      </c>
      <c r="G479">
        <f t="shared" si="23"/>
        <v>2025</v>
      </c>
      <c r="H479">
        <f t="shared" si="21"/>
        <v>1</v>
      </c>
    </row>
    <row r="480" spans="1:8" x14ac:dyDescent="0.25">
      <c r="A480" t="s">
        <v>2332</v>
      </c>
      <c r="B480" s="1">
        <v>43840</v>
      </c>
      <c r="C480" s="1">
        <v>43881</v>
      </c>
      <c r="D480" s="1">
        <v>44326</v>
      </c>
      <c r="E480">
        <v>81432.47</v>
      </c>
      <c r="F480">
        <f t="shared" si="22"/>
        <v>2020</v>
      </c>
      <c r="G480">
        <f t="shared" si="23"/>
        <v>2021</v>
      </c>
      <c r="H480">
        <f t="shared" si="21"/>
        <v>1</v>
      </c>
    </row>
    <row r="481" spans="1:8" x14ac:dyDescent="0.25">
      <c r="A481" t="s">
        <v>2216</v>
      </c>
      <c r="B481" s="1">
        <v>44382</v>
      </c>
      <c r="C481" s="1">
        <v>44411</v>
      </c>
      <c r="D481" s="1">
        <v>44599</v>
      </c>
      <c r="E481">
        <v>78475.179999999993</v>
      </c>
      <c r="F481">
        <f t="shared" si="22"/>
        <v>2021</v>
      </c>
      <c r="G481">
        <f t="shared" si="23"/>
        <v>2022</v>
      </c>
      <c r="H481">
        <f t="shared" si="21"/>
        <v>1</v>
      </c>
    </row>
    <row r="482" spans="1:8" x14ac:dyDescent="0.25">
      <c r="A482" t="s">
        <v>2519</v>
      </c>
      <c r="B482" s="1">
        <v>43982</v>
      </c>
      <c r="C482" s="1">
        <v>44005</v>
      </c>
      <c r="D482" s="1">
        <v>44282</v>
      </c>
      <c r="E482">
        <v>54040.08</v>
      </c>
      <c r="F482">
        <f t="shared" si="22"/>
        <v>2020</v>
      </c>
      <c r="G482">
        <f t="shared" si="23"/>
        <v>2021</v>
      </c>
      <c r="H482">
        <f t="shared" si="21"/>
        <v>1</v>
      </c>
    </row>
    <row r="483" spans="1:8" x14ac:dyDescent="0.25">
      <c r="A483" t="s">
        <v>2475</v>
      </c>
      <c r="B483" s="1">
        <v>44103</v>
      </c>
      <c r="C483" s="1">
        <v>44128</v>
      </c>
      <c r="D483" s="1">
        <v>44352</v>
      </c>
      <c r="E483">
        <v>48874.06</v>
      </c>
      <c r="F483">
        <f t="shared" si="22"/>
        <v>2020</v>
      </c>
      <c r="G483">
        <f t="shared" si="23"/>
        <v>2021</v>
      </c>
      <c r="H483">
        <f t="shared" si="21"/>
        <v>1</v>
      </c>
    </row>
    <row r="484" spans="1:8" x14ac:dyDescent="0.25">
      <c r="A484" t="s">
        <v>2185</v>
      </c>
      <c r="B484" s="1">
        <v>45421</v>
      </c>
      <c r="C484" s="1">
        <v>45459</v>
      </c>
      <c r="D484" s="1">
        <v>45683</v>
      </c>
      <c r="E484">
        <v>7462.27</v>
      </c>
      <c r="F484">
        <f t="shared" si="22"/>
        <v>2024</v>
      </c>
      <c r="G484">
        <f t="shared" si="23"/>
        <v>2025</v>
      </c>
      <c r="H484">
        <f t="shared" si="21"/>
        <v>1</v>
      </c>
    </row>
    <row r="485" spans="1:8" x14ac:dyDescent="0.25">
      <c r="A485" t="s">
        <v>2520</v>
      </c>
      <c r="B485" s="1">
        <v>44742</v>
      </c>
      <c r="C485" s="1">
        <v>44793</v>
      </c>
      <c r="D485" s="1">
        <v>45061</v>
      </c>
      <c r="E485">
        <v>-24576.85</v>
      </c>
      <c r="F485">
        <f t="shared" si="22"/>
        <v>2022</v>
      </c>
      <c r="G485">
        <f t="shared" si="23"/>
        <v>2023</v>
      </c>
      <c r="H485">
        <f t="shared" si="21"/>
        <v>1</v>
      </c>
    </row>
    <row r="486" spans="1:8" x14ac:dyDescent="0.25">
      <c r="A486" t="s">
        <v>2521</v>
      </c>
      <c r="B486" s="1">
        <v>45205</v>
      </c>
      <c r="C486" s="1">
        <v>45234</v>
      </c>
      <c r="D486" s="1">
        <v>45311</v>
      </c>
      <c r="E486">
        <v>5026.8599999999997</v>
      </c>
      <c r="F486">
        <f t="shared" si="22"/>
        <v>2023</v>
      </c>
      <c r="G486">
        <f t="shared" si="23"/>
        <v>2024</v>
      </c>
      <c r="H486">
        <f t="shared" si="21"/>
        <v>1</v>
      </c>
    </row>
    <row r="487" spans="1:8" x14ac:dyDescent="0.25">
      <c r="A487" t="s">
        <v>2227</v>
      </c>
      <c r="B487" s="1">
        <v>44163</v>
      </c>
      <c r="C487" s="1">
        <v>44240</v>
      </c>
      <c r="D487" s="1">
        <v>44383</v>
      </c>
      <c r="E487">
        <v>14142.38</v>
      </c>
      <c r="F487">
        <f t="shared" si="22"/>
        <v>2020</v>
      </c>
      <c r="G487">
        <f t="shared" si="23"/>
        <v>2021</v>
      </c>
      <c r="H487">
        <f t="shared" si="21"/>
        <v>1</v>
      </c>
    </row>
    <row r="488" spans="1:8" x14ac:dyDescent="0.25">
      <c r="A488" t="s">
        <v>2454</v>
      </c>
      <c r="B488" s="1">
        <v>44931</v>
      </c>
      <c r="D488" s="1">
        <v>45297</v>
      </c>
      <c r="E488">
        <v>6336.95</v>
      </c>
      <c r="F488">
        <f t="shared" si="22"/>
        <v>2023</v>
      </c>
      <c r="G488">
        <f t="shared" si="23"/>
        <v>2024</v>
      </c>
      <c r="H488">
        <f t="shared" si="21"/>
        <v>1</v>
      </c>
    </row>
    <row r="489" spans="1:8" x14ac:dyDescent="0.25">
      <c r="A489" t="s">
        <v>2522</v>
      </c>
      <c r="B489" s="1">
        <v>44791</v>
      </c>
      <c r="C489" s="1">
        <v>44880</v>
      </c>
      <c r="D489" s="1">
        <v>44913</v>
      </c>
      <c r="E489">
        <v>20000.25</v>
      </c>
      <c r="F489">
        <f t="shared" si="22"/>
        <v>2022</v>
      </c>
      <c r="G489">
        <f t="shared" si="23"/>
        <v>2022</v>
      </c>
      <c r="H489">
        <f t="shared" si="21"/>
        <v>0</v>
      </c>
    </row>
    <row r="490" spans="1:8" x14ac:dyDescent="0.25">
      <c r="A490" t="s">
        <v>2220</v>
      </c>
      <c r="B490" s="1">
        <v>45019</v>
      </c>
      <c r="C490" s="1">
        <v>45102</v>
      </c>
      <c r="D490" s="1">
        <v>45360</v>
      </c>
      <c r="E490">
        <v>30510.32</v>
      </c>
      <c r="F490">
        <f t="shared" si="22"/>
        <v>2023</v>
      </c>
      <c r="G490">
        <f t="shared" si="23"/>
        <v>2024</v>
      </c>
      <c r="H490">
        <f t="shared" si="21"/>
        <v>1</v>
      </c>
    </row>
    <row r="491" spans="1:8" x14ac:dyDescent="0.25">
      <c r="A491" t="s">
        <v>2382</v>
      </c>
      <c r="B491" s="1">
        <v>44800</v>
      </c>
      <c r="C491" s="1">
        <v>44889</v>
      </c>
      <c r="D491" s="1">
        <v>45047</v>
      </c>
      <c r="E491">
        <v>35720.61</v>
      </c>
      <c r="F491">
        <f t="shared" si="22"/>
        <v>2022</v>
      </c>
      <c r="G491">
        <f t="shared" si="23"/>
        <v>2023</v>
      </c>
      <c r="H491">
        <f t="shared" si="21"/>
        <v>1</v>
      </c>
    </row>
    <row r="492" spans="1:8" x14ac:dyDescent="0.25">
      <c r="A492" t="s">
        <v>2454</v>
      </c>
      <c r="B492" s="1">
        <v>44931</v>
      </c>
      <c r="D492" s="1">
        <v>45054</v>
      </c>
      <c r="E492">
        <v>17869.740000000002</v>
      </c>
      <c r="F492">
        <f t="shared" si="22"/>
        <v>2023</v>
      </c>
      <c r="G492">
        <f t="shared" si="23"/>
        <v>2023</v>
      </c>
      <c r="H492">
        <f t="shared" si="21"/>
        <v>0</v>
      </c>
    </row>
    <row r="493" spans="1:8" x14ac:dyDescent="0.25">
      <c r="A493" t="s">
        <v>2523</v>
      </c>
      <c r="B493" s="1">
        <v>44671</v>
      </c>
      <c r="C493" s="1">
        <v>44755</v>
      </c>
      <c r="D493" s="1">
        <v>44910</v>
      </c>
      <c r="E493">
        <v>47781.08</v>
      </c>
      <c r="F493">
        <f t="shared" si="22"/>
        <v>2022</v>
      </c>
      <c r="G493">
        <f t="shared" si="23"/>
        <v>2022</v>
      </c>
      <c r="H493">
        <f t="shared" si="21"/>
        <v>0</v>
      </c>
    </row>
    <row r="494" spans="1:8" x14ac:dyDescent="0.25">
      <c r="A494" t="s">
        <v>2524</v>
      </c>
      <c r="B494" s="1">
        <v>45307</v>
      </c>
      <c r="C494" s="1">
        <v>45332</v>
      </c>
      <c r="D494" s="1">
        <v>45524</v>
      </c>
      <c r="E494">
        <v>50136.68</v>
      </c>
      <c r="F494">
        <f t="shared" si="22"/>
        <v>2024</v>
      </c>
      <c r="G494">
        <f t="shared" si="23"/>
        <v>2024</v>
      </c>
      <c r="H494">
        <f t="shared" si="21"/>
        <v>0</v>
      </c>
    </row>
    <row r="495" spans="1:8" x14ac:dyDescent="0.25">
      <c r="A495" t="s">
        <v>2465</v>
      </c>
      <c r="B495" s="1">
        <v>45614</v>
      </c>
      <c r="C495" s="1">
        <v>45635</v>
      </c>
      <c r="D495" s="1">
        <v>45723</v>
      </c>
      <c r="E495">
        <v>82807.02</v>
      </c>
      <c r="F495">
        <f t="shared" si="22"/>
        <v>2024</v>
      </c>
      <c r="G495">
        <f t="shared" si="23"/>
        <v>2025</v>
      </c>
      <c r="H495">
        <f t="shared" si="21"/>
        <v>1</v>
      </c>
    </row>
    <row r="496" spans="1:8" x14ac:dyDescent="0.25">
      <c r="A496" t="s">
        <v>2525</v>
      </c>
      <c r="B496" s="1">
        <v>43845</v>
      </c>
      <c r="C496" s="1">
        <v>43874</v>
      </c>
      <c r="D496" s="1">
        <v>44289</v>
      </c>
      <c r="E496">
        <v>-1770.32</v>
      </c>
      <c r="F496">
        <f t="shared" si="22"/>
        <v>2020</v>
      </c>
      <c r="G496">
        <f t="shared" si="23"/>
        <v>2021</v>
      </c>
      <c r="H496">
        <f t="shared" si="21"/>
        <v>1</v>
      </c>
    </row>
    <row r="497" spans="1:8" x14ac:dyDescent="0.25">
      <c r="A497" t="s">
        <v>2526</v>
      </c>
      <c r="B497" s="1">
        <v>44846</v>
      </c>
      <c r="C497" s="1">
        <v>44928</v>
      </c>
      <c r="D497" s="1">
        <v>45181</v>
      </c>
      <c r="E497">
        <v>65802.59</v>
      </c>
      <c r="F497">
        <f t="shared" si="22"/>
        <v>2022</v>
      </c>
      <c r="G497">
        <f t="shared" si="23"/>
        <v>2023</v>
      </c>
      <c r="H497">
        <f t="shared" si="21"/>
        <v>1</v>
      </c>
    </row>
    <row r="498" spans="1:8" x14ac:dyDescent="0.25">
      <c r="A498" t="s">
        <v>2527</v>
      </c>
      <c r="B498" s="1">
        <v>44970</v>
      </c>
      <c r="C498" s="1">
        <v>44999</v>
      </c>
      <c r="D498" s="1">
        <v>45201</v>
      </c>
      <c r="E498">
        <v>67588.63</v>
      </c>
      <c r="F498">
        <f t="shared" si="22"/>
        <v>2023</v>
      </c>
      <c r="G498">
        <f t="shared" si="23"/>
        <v>2023</v>
      </c>
      <c r="H498">
        <f t="shared" si="21"/>
        <v>0</v>
      </c>
    </row>
    <row r="499" spans="1:8" x14ac:dyDescent="0.25">
      <c r="A499" t="s">
        <v>2460</v>
      </c>
      <c r="B499" s="1">
        <v>44497</v>
      </c>
      <c r="C499" s="1">
        <v>44539</v>
      </c>
      <c r="D499" s="1">
        <v>44647</v>
      </c>
      <c r="E499">
        <v>37106.300000000003</v>
      </c>
      <c r="F499">
        <f t="shared" si="22"/>
        <v>2021</v>
      </c>
      <c r="G499">
        <f t="shared" si="23"/>
        <v>2022</v>
      </c>
      <c r="H499">
        <f t="shared" si="21"/>
        <v>1</v>
      </c>
    </row>
    <row r="500" spans="1:8" x14ac:dyDescent="0.25">
      <c r="A500" t="s">
        <v>2528</v>
      </c>
      <c r="B500" s="1">
        <v>44741</v>
      </c>
      <c r="C500" s="1">
        <v>44774</v>
      </c>
      <c r="D500" s="1">
        <v>45309</v>
      </c>
      <c r="E500">
        <v>28849.27</v>
      </c>
      <c r="F500">
        <f t="shared" si="22"/>
        <v>2022</v>
      </c>
      <c r="G500">
        <f t="shared" si="23"/>
        <v>2024</v>
      </c>
      <c r="H500">
        <f t="shared" si="21"/>
        <v>2</v>
      </c>
    </row>
    <row r="501" spans="1:8" x14ac:dyDescent="0.25">
      <c r="A501" t="s">
        <v>2209</v>
      </c>
      <c r="B501" s="1">
        <v>45331</v>
      </c>
      <c r="C501" s="1">
        <v>45402</v>
      </c>
      <c r="D501" s="1">
        <v>45510</v>
      </c>
      <c r="E501">
        <v>63322.1</v>
      </c>
      <c r="F501">
        <f t="shared" si="22"/>
        <v>2024</v>
      </c>
      <c r="G501">
        <f t="shared" si="23"/>
        <v>2024</v>
      </c>
      <c r="H501">
        <f t="shared" si="21"/>
        <v>0</v>
      </c>
    </row>
    <row r="502" spans="1:8" x14ac:dyDescent="0.25">
      <c r="A502" t="s">
        <v>2267</v>
      </c>
      <c r="B502" s="1">
        <v>45051</v>
      </c>
      <c r="C502" s="1">
        <v>45139</v>
      </c>
      <c r="D502" s="1">
        <v>45316</v>
      </c>
      <c r="E502">
        <v>22874.880000000001</v>
      </c>
      <c r="F502">
        <f t="shared" si="22"/>
        <v>2023</v>
      </c>
      <c r="G502">
        <f t="shared" si="23"/>
        <v>2024</v>
      </c>
      <c r="H502">
        <f t="shared" si="21"/>
        <v>1</v>
      </c>
    </row>
    <row r="503" spans="1:8" x14ac:dyDescent="0.25">
      <c r="A503" t="s">
        <v>2529</v>
      </c>
      <c r="B503" s="1">
        <v>44499</v>
      </c>
      <c r="C503" s="1">
        <v>44532</v>
      </c>
      <c r="D503" s="1">
        <v>44640</v>
      </c>
      <c r="E503">
        <v>39652.97</v>
      </c>
      <c r="F503">
        <f t="shared" si="22"/>
        <v>2021</v>
      </c>
      <c r="G503">
        <f t="shared" si="23"/>
        <v>2022</v>
      </c>
      <c r="H503">
        <f t="shared" si="21"/>
        <v>1</v>
      </c>
    </row>
    <row r="504" spans="1:8" x14ac:dyDescent="0.25">
      <c r="A504" t="s">
        <v>2530</v>
      </c>
      <c r="B504" s="1">
        <v>45540</v>
      </c>
      <c r="C504" s="1">
        <v>45597</v>
      </c>
      <c r="D504" s="1">
        <v>45766</v>
      </c>
      <c r="E504">
        <v>72816.67</v>
      </c>
      <c r="F504">
        <f t="shared" si="22"/>
        <v>2024</v>
      </c>
      <c r="G504">
        <f t="shared" si="23"/>
        <v>2025</v>
      </c>
      <c r="H504">
        <f t="shared" si="21"/>
        <v>1</v>
      </c>
    </row>
    <row r="505" spans="1:8" x14ac:dyDescent="0.25">
      <c r="A505" t="s">
        <v>2344</v>
      </c>
      <c r="B505" s="1">
        <v>44100</v>
      </c>
      <c r="C505" s="1">
        <v>44187</v>
      </c>
      <c r="D505" s="1">
        <v>44421</v>
      </c>
      <c r="E505">
        <v>77015.11</v>
      </c>
      <c r="F505">
        <f t="shared" si="22"/>
        <v>2020</v>
      </c>
      <c r="G505">
        <f t="shared" si="23"/>
        <v>2021</v>
      </c>
      <c r="H505">
        <f t="shared" si="21"/>
        <v>1</v>
      </c>
    </row>
    <row r="506" spans="1:8" x14ac:dyDescent="0.25">
      <c r="A506" t="s">
        <v>2531</v>
      </c>
      <c r="B506" s="1">
        <v>44136</v>
      </c>
      <c r="C506" s="1">
        <v>44212</v>
      </c>
      <c r="D506" s="1">
        <v>44360</v>
      </c>
      <c r="E506">
        <v>3632.07</v>
      </c>
      <c r="F506">
        <f t="shared" si="22"/>
        <v>2020</v>
      </c>
      <c r="G506">
        <f t="shared" si="23"/>
        <v>2021</v>
      </c>
      <c r="H506">
        <f t="shared" si="21"/>
        <v>1</v>
      </c>
    </row>
    <row r="507" spans="1:8" x14ac:dyDescent="0.25">
      <c r="A507" t="s">
        <v>2532</v>
      </c>
      <c r="B507" s="1">
        <v>45186</v>
      </c>
      <c r="C507" s="1">
        <v>45209</v>
      </c>
      <c r="D507" s="1">
        <v>45719</v>
      </c>
      <c r="E507">
        <v>69748.929999999993</v>
      </c>
      <c r="F507">
        <f t="shared" si="22"/>
        <v>2023</v>
      </c>
      <c r="G507">
        <f t="shared" si="23"/>
        <v>2025</v>
      </c>
      <c r="H507">
        <f t="shared" si="21"/>
        <v>2</v>
      </c>
    </row>
    <row r="508" spans="1:8" x14ac:dyDescent="0.25">
      <c r="A508" t="s">
        <v>2533</v>
      </c>
      <c r="B508" s="1">
        <v>44305</v>
      </c>
      <c r="C508" s="1">
        <v>44380</v>
      </c>
      <c r="D508" s="1">
        <v>44572</v>
      </c>
      <c r="E508">
        <v>68456.98</v>
      </c>
      <c r="F508">
        <f t="shared" si="22"/>
        <v>2021</v>
      </c>
      <c r="G508">
        <f t="shared" si="23"/>
        <v>2022</v>
      </c>
      <c r="H508">
        <f t="shared" si="21"/>
        <v>1</v>
      </c>
    </row>
    <row r="509" spans="1:8" x14ac:dyDescent="0.25">
      <c r="A509" t="s">
        <v>2534</v>
      </c>
      <c r="B509" s="1">
        <v>44091</v>
      </c>
      <c r="C509" s="1">
        <v>44151</v>
      </c>
      <c r="D509" s="1">
        <v>44387</v>
      </c>
      <c r="E509">
        <v>20460.72</v>
      </c>
      <c r="F509">
        <f t="shared" si="22"/>
        <v>2020</v>
      </c>
      <c r="G509">
        <f t="shared" si="23"/>
        <v>2021</v>
      </c>
      <c r="H509">
        <f t="shared" si="21"/>
        <v>1</v>
      </c>
    </row>
    <row r="510" spans="1:8" x14ac:dyDescent="0.25">
      <c r="A510" t="s">
        <v>2392</v>
      </c>
      <c r="B510" s="1">
        <v>45220</v>
      </c>
      <c r="C510" s="1">
        <v>45271</v>
      </c>
      <c r="D510" s="1">
        <v>45736</v>
      </c>
      <c r="E510">
        <v>74471.48</v>
      </c>
      <c r="F510">
        <f t="shared" si="22"/>
        <v>2023</v>
      </c>
      <c r="G510">
        <f t="shared" si="23"/>
        <v>2025</v>
      </c>
      <c r="H510">
        <f t="shared" si="21"/>
        <v>2</v>
      </c>
    </row>
    <row r="511" spans="1:8" x14ac:dyDescent="0.25">
      <c r="A511" t="s">
        <v>2535</v>
      </c>
      <c r="B511" s="1">
        <v>44320</v>
      </c>
      <c r="C511" s="1">
        <v>44343</v>
      </c>
      <c r="D511" s="1">
        <v>44534</v>
      </c>
      <c r="E511">
        <v>5527.67</v>
      </c>
      <c r="F511">
        <f t="shared" si="22"/>
        <v>2021</v>
      </c>
      <c r="G511">
        <f t="shared" si="23"/>
        <v>2021</v>
      </c>
      <c r="H511">
        <f t="shared" si="21"/>
        <v>0</v>
      </c>
    </row>
    <row r="512" spans="1:8" x14ac:dyDescent="0.25">
      <c r="A512" t="s">
        <v>2536</v>
      </c>
      <c r="B512" s="1">
        <v>44610</v>
      </c>
      <c r="C512" s="1">
        <v>44616</v>
      </c>
      <c r="D512" s="1">
        <v>44709</v>
      </c>
      <c r="E512">
        <v>20891.060000000001</v>
      </c>
      <c r="F512">
        <f t="shared" si="22"/>
        <v>2022</v>
      </c>
      <c r="G512">
        <f t="shared" si="23"/>
        <v>2022</v>
      </c>
      <c r="H512">
        <f t="shared" si="21"/>
        <v>0</v>
      </c>
    </row>
    <row r="513" spans="1:8" x14ac:dyDescent="0.25">
      <c r="A513" t="s">
        <v>2293</v>
      </c>
      <c r="B513" s="1">
        <v>45567</v>
      </c>
      <c r="C513" s="1">
        <v>45612</v>
      </c>
      <c r="D513" s="1">
        <v>45735</v>
      </c>
      <c r="E513">
        <v>2757.76</v>
      </c>
      <c r="F513">
        <f t="shared" si="22"/>
        <v>2024</v>
      </c>
      <c r="G513">
        <f t="shared" si="23"/>
        <v>2025</v>
      </c>
      <c r="H513">
        <f t="shared" si="21"/>
        <v>1</v>
      </c>
    </row>
    <row r="514" spans="1:8" x14ac:dyDescent="0.25">
      <c r="A514" t="s">
        <v>2537</v>
      </c>
      <c r="B514" s="1">
        <v>44846</v>
      </c>
      <c r="C514" s="1">
        <v>44895</v>
      </c>
      <c r="D514" s="1">
        <v>45227</v>
      </c>
      <c r="E514">
        <v>-10116.6</v>
      </c>
      <c r="F514">
        <f t="shared" si="22"/>
        <v>2022</v>
      </c>
      <c r="G514">
        <f t="shared" si="23"/>
        <v>2023</v>
      </c>
      <c r="H514">
        <f t="shared" ref="H514:H577" si="24">MAX(0,G514-F514)</f>
        <v>1</v>
      </c>
    </row>
    <row r="515" spans="1:8" x14ac:dyDescent="0.25">
      <c r="A515" t="s">
        <v>2422</v>
      </c>
      <c r="B515" s="1">
        <v>44566</v>
      </c>
      <c r="C515" s="1">
        <v>44597</v>
      </c>
      <c r="D515" s="1">
        <v>44760</v>
      </c>
      <c r="E515">
        <v>2225333.29</v>
      </c>
      <c r="F515">
        <f t="shared" ref="F515:F578" si="25">YEAR(B515)</f>
        <v>2022</v>
      </c>
      <c r="G515">
        <f t="shared" ref="G515:G578" si="26">YEAR(D515)</f>
        <v>2022</v>
      </c>
      <c r="H515">
        <f t="shared" si="24"/>
        <v>0</v>
      </c>
    </row>
    <row r="516" spans="1:8" x14ac:dyDescent="0.25">
      <c r="A516" t="s">
        <v>2268</v>
      </c>
      <c r="B516" s="1">
        <v>43832</v>
      </c>
      <c r="C516" s="1">
        <v>43882</v>
      </c>
      <c r="D516" s="1">
        <v>44226</v>
      </c>
      <c r="E516">
        <v>26341.33</v>
      </c>
      <c r="F516">
        <f t="shared" si="25"/>
        <v>2020</v>
      </c>
      <c r="G516">
        <f t="shared" si="26"/>
        <v>2021</v>
      </c>
      <c r="H516">
        <f t="shared" si="24"/>
        <v>1</v>
      </c>
    </row>
    <row r="517" spans="1:8" x14ac:dyDescent="0.25">
      <c r="A517" t="s">
        <v>2538</v>
      </c>
      <c r="B517" s="1">
        <v>44157</v>
      </c>
      <c r="C517" s="1">
        <v>44237</v>
      </c>
      <c r="D517" s="1">
        <v>44367</v>
      </c>
      <c r="E517">
        <v>83184.98</v>
      </c>
      <c r="F517">
        <f t="shared" si="25"/>
        <v>2020</v>
      </c>
      <c r="G517">
        <f t="shared" si="26"/>
        <v>2021</v>
      </c>
      <c r="H517">
        <f t="shared" si="24"/>
        <v>1</v>
      </c>
    </row>
    <row r="518" spans="1:8" x14ac:dyDescent="0.25">
      <c r="A518" t="s">
        <v>2539</v>
      </c>
      <c r="B518" s="1">
        <v>45532</v>
      </c>
      <c r="C518" s="1">
        <v>45591</v>
      </c>
      <c r="D518" s="1">
        <v>45702</v>
      </c>
      <c r="E518">
        <v>55650.49</v>
      </c>
      <c r="F518">
        <f t="shared" si="25"/>
        <v>2024</v>
      </c>
      <c r="G518">
        <f t="shared" si="26"/>
        <v>2025</v>
      </c>
      <c r="H518">
        <f t="shared" si="24"/>
        <v>1</v>
      </c>
    </row>
    <row r="519" spans="1:8" x14ac:dyDescent="0.25">
      <c r="A519" t="s">
        <v>2522</v>
      </c>
      <c r="B519" s="1">
        <v>44791</v>
      </c>
      <c r="C519" s="1">
        <v>44880</v>
      </c>
      <c r="D519" s="1">
        <v>44951</v>
      </c>
      <c r="E519">
        <v>75903.67</v>
      </c>
      <c r="F519">
        <f t="shared" si="25"/>
        <v>2022</v>
      </c>
      <c r="G519">
        <f t="shared" si="26"/>
        <v>2023</v>
      </c>
      <c r="H519">
        <f t="shared" si="24"/>
        <v>1</v>
      </c>
    </row>
    <row r="520" spans="1:8" x14ac:dyDescent="0.25">
      <c r="A520" t="s">
        <v>2211</v>
      </c>
      <c r="B520" s="1">
        <v>43844</v>
      </c>
      <c r="C520" s="1">
        <v>43926</v>
      </c>
      <c r="D520" s="1">
        <v>44051</v>
      </c>
      <c r="E520">
        <v>74286.789999999994</v>
      </c>
      <c r="F520">
        <f t="shared" si="25"/>
        <v>2020</v>
      </c>
      <c r="G520">
        <f t="shared" si="26"/>
        <v>2020</v>
      </c>
      <c r="H520">
        <f t="shared" si="24"/>
        <v>0</v>
      </c>
    </row>
    <row r="521" spans="1:8" x14ac:dyDescent="0.25">
      <c r="A521" t="s">
        <v>2338</v>
      </c>
      <c r="B521" s="1">
        <v>44438</v>
      </c>
      <c r="C521" s="1">
        <v>44509</v>
      </c>
      <c r="D521" s="1">
        <v>45192</v>
      </c>
      <c r="E521">
        <v>73362.210000000006</v>
      </c>
      <c r="F521">
        <f t="shared" si="25"/>
        <v>2021</v>
      </c>
      <c r="G521">
        <f t="shared" si="26"/>
        <v>2023</v>
      </c>
      <c r="H521">
        <f t="shared" si="24"/>
        <v>2</v>
      </c>
    </row>
    <row r="522" spans="1:8" x14ac:dyDescent="0.25">
      <c r="A522" t="s">
        <v>2540</v>
      </c>
      <c r="B522" s="1">
        <v>45355</v>
      </c>
      <c r="C522" s="1">
        <v>45438</v>
      </c>
      <c r="D522" s="1">
        <v>45480</v>
      </c>
      <c r="E522">
        <v>33519.99</v>
      </c>
      <c r="F522">
        <f t="shared" si="25"/>
        <v>2024</v>
      </c>
      <c r="G522">
        <f t="shared" si="26"/>
        <v>2024</v>
      </c>
      <c r="H522">
        <f t="shared" si="24"/>
        <v>0</v>
      </c>
    </row>
    <row r="523" spans="1:8" x14ac:dyDescent="0.25">
      <c r="A523" t="s">
        <v>2541</v>
      </c>
      <c r="B523" s="1">
        <v>44890</v>
      </c>
      <c r="C523" s="1">
        <v>44904</v>
      </c>
      <c r="D523" s="1">
        <v>44936</v>
      </c>
      <c r="E523">
        <v>-12540.98</v>
      </c>
      <c r="F523">
        <f t="shared" si="25"/>
        <v>2022</v>
      </c>
      <c r="G523">
        <f t="shared" si="26"/>
        <v>2023</v>
      </c>
      <c r="H523">
        <f t="shared" si="24"/>
        <v>1</v>
      </c>
    </row>
    <row r="524" spans="1:8" x14ac:dyDescent="0.25">
      <c r="A524" t="s">
        <v>2341</v>
      </c>
      <c r="B524" s="1">
        <v>44220</v>
      </c>
      <c r="C524" s="1">
        <v>44289</v>
      </c>
      <c r="D524" s="1">
        <v>44505</v>
      </c>
      <c r="E524">
        <v>-13361.89</v>
      </c>
      <c r="F524">
        <f t="shared" si="25"/>
        <v>2021</v>
      </c>
      <c r="G524">
        <f t="shared" si="26"/>
        <v>2021</v>
      </c>
      <c r="H524">
        <f t="shared" si="24"/>
        <v>0</v>
      </c>
    </row>
    <row r="525" spans="1:8" x14ac:dyDescent="0.25">
      <c r="A525" t="s">
        <v>2542</v>
      </c>
      <c r="B525" s="1">
        <v>44605</v>
      </c>
      <c r="C525" s="1">
        <v>44631</v>
      </c>
      <c r="D525" s="1">
        <v>44985</v>
      </c>
      <c r="E525">
        <v>78029.53</v>
      </c>
      <c r="F525">
        <f t="shared" si="25"/>
        <v>2022</v>
      </c>
      <c r="G525">
        <f t="shared" si="26"/>
        <v>2023</v>
      </c>
      <c r="H525">
        <f t="shared" si="24"/>
        <v>1</v>
      </c>
    </row>
    <row r="526" spans="1:8" x14ac:dyDescent="0.25">
      <c r="A526" t="s">
        <v>2186</v>
      </c>
      <c r="B526" s="1">
        <v>45264</v>
      </c>
      <c r="C526" s="1">
        <v>45308</v>
      </c>
      <c r="D526" s="1">
        <v>45614</v>
      </c>
      <c r="E526">
        <v>13621.08</v>
      </c>
      <c r="F526">
        <f t="shared" si="25"/>
        <v>2023</v>
      </c>
      <c r="G526">
        <f t="shared" si="26"/>
        <v>2024</v>
      </c>
      <c r="H526">
        <f t="shared" si="24"/>
        <v>1</v>
      </c>
    </row>
    <row r="527" spans="1:8" x14ac:dyDescent="0.25">
      <c r="A527" t="s">
        <v>2306</v>
      </c>
      <c r="B527" s="1">
        <v>45077</v>
      </c>
      <c r="C527" s="1">
        <v>45119</v>
      </c>
      <c r="D527" s="1">
        <v>45537</v>
      </c>
      <c r="E527">
        <v>2266.9899999999998</v>
      </c>
      <c r="F527">
        <f t="shared" si="25"/>
        <v>2023</v>
      </c>
      <c r="G527">
        <f t="shared" si="26"/>
        <v>2024</v>
      </c>
      <c r="H527">
        <f t="shared" si="24"/>
        <v>1</v>
      </c>
    </row>
    <row r="528" spans="1:8" x14ac:dyDescent="0.25">
      <c r="A528" t="s">
        <v>2361</v>
      </c>
      <c r="B528" s="1">
        <v>44563</v>
      </c>
      <c r="C528" s="1">
        <v>44571</v>
      </c>
      <c r="D528" s="1">
        <v>44830</v>
      </c>
      <c r="E528">
        <v>13879.16</v>
      </c>
      <c r="F528">
        <f t="shared" si="25"/>
        <v>2022</v>
      </c>
      <c r="G528">
        <f t="shared" si="26"/>
        <v>2022</v>
      </c>
      <c r="H528">
        <f t="shared" si="24"/>
        <v>0</v>
      </c>
    </row>
    <row r="529" spans="1:8" x14ac:dyDescent="0.25">
      <c r="A529" t="s">
        <v>2467</v>
      </c>
      <c r="B529" s="1">
        <v>45111</v>
      </c>
      <c r="C529" s="1">
        <v>45190</v>
      </c>
      <c r="D529" s="1">
        <v>45367</v>
      </c>
      <c r="E529">
        <v>20407.47</v>
      </c>
      <c r="F529">
        <f t="shared" si="25"/>
        <v>2023</v>
      </c>
      <c r="G529">
        <f t="shared" si="26"/>
        <v>2024</v>
      </c>
      <c r="H529">
        <f t="shared" si="24"/>
        <v>1</v>
      </c>
    </row>
    <row r="530" spans="1:8" x14ac:dyDescent="0.25">
      <c r="A530" t="s">
        <v>2370</v>
      </c>
      <c r="B530" s="1">
        <v>45098</v>
      </c>
      <c r="C530" s="1">
        <v>45178</v>
      </c>
      <c r="D530" s="1">
        <v>45462</v>
      </c>
      <c r="E530">
        <v>41914.980000000003</v>
      </c>
      <c r="F530">
        <f t="shared" si="25"/>
        <v>2023</v>
      </c>
      <c r="G530">
        <f t="shared" si="26"/>
        <v>2024</v>
      </c>
      <c r="H530">
        <f t="shared" si="24"/>
        <v>1</v>
      </c>
    </row>
    <row r="531" spans="1:8" x14ac:dyDescent="0.25">
      <c r="A531" t="s">
        <v>2543</v>
      </c>
      <c r="B531" s="1">
        <v>43991</v>
      </c>
      <c r="C531" s="1">
        <v>44070</v>
      </c>
      <c r="D531" s="1">
        <v>44236</v>
      </c>
      <c r="E531">
        <v>48075.519999999997</v>
      </c>
      <c r="F531">
        <f t="shared" si="25"/>
        <v>2020</v>
      </c>
      <c r="G531">
        <f t="shared" si="26"/>
        <v>2021</v>
      </c>
      <c r="H531">
        <f t="shared" si="24"/>
        <v>1</v>
      </c>
    </row>
    <row r="532" spans="1:8" x14ac:dyDescent="0.25">
      <c r="A532" t="s">
        <v>2526</v>
      </c>
      <c r="B532" s="1">
        <v>44846</v>
      </c>
      <c r="C532" s="1">
        <v>44928</v>
      </c>
      <c r="D532" s="1">
        <v>45029</v>
      </c>
      <c r="E532">
        <v>-1606.78</v>
      </c>
      <c r="F532">
        <f t="shared" si="25"/>
        <v>2022</v>
      </c>
      <c r="G532">
        <f t="shared" si="26"/>
        <v>2023</v>
      </c>
      <c r="H532">
        <f t="shared" si="24"/>
        <v>1</v>
      </c>
    </row>
    <row r="533" spans="1:8" x14ac:dyDescent="0.25">
      <c r="A533" t="s">
        <v>2544</v>
      </c>
      <c r="B533" s="1">
        <v>45266</v>
      </c>
      <c r="C533" s="1">
        <v>45348</v>
      </c>
      <c r="D533" s="1">
        <v>45525</v>
      </c>
      <c r="E533">
        <v>73275.899999999994</v>
      </c>
      <c r="F533">
        <f t="shared" si="25"/>
        <v>2023</v>
      </c>
      <c r="G533">
        <f t="shared" si="26"/>
        <v>2024</v>
      </c>
      <c r="H533">
        <f t="shared" si="24"/>
        <v>1</v>
      </c>
    </row>
    <row r="534" spans="1:8" x14ac:dyDescent="0.25">
      <c r="A534" t="s">
        <v>2545</v>
      </c>
      <c r="B534" s="1">
        <v>45521</v>
      </c>
      <c r="C534" s="1">
        <v>45542</v>
      </c>
      <c r="D534" s="1">
        <v>45738</v>
      </c>
      <c r="E534">
        <v>66565.119999999995</v>
      </c>
      <c r="F534">
        <f t="shared" si="25"/>
        <v>2024</v>
      </c>
      <c r="G534">
        <f t="shared" si="26"/>
        <v>2025</v>
      </c>
      <c r="H534">
        <f t="shared" si="24"/>
        <v>1</v>
      </c>
    </row>
    <row r="535" spans="1:8" x14ac:dyDescent="0.25">
      <c r="A535" t="s">
        <v>2546</v>
      </c>
      <c r="B535" s="1">
        <v>45071</v>
      </c>
      <c r="C535" s="1">
        <v>45086</v>
      </c>
      <c r="D535" s="1">
        <v>45221</v>
      </c>
      <c r="E535">
        <v>10068.870000000001</v>
      </c>
      <c r="F535">
        <f t="shared" si="25"/>
        <v>2023</v>
      </c>
      <c r="G535">
        <f t="shared" si="26"/>
        <v>2023</v>
      </c>
      <c r="H535">
        <f t="shared" si="24"/>
        <v>0</v>
      </c>
    </row>
    <row r="536" spans="1:8" x14ac:dyDescent="0.25">
      <c r="A536" t="s">
        <v>2547</v>
      </c>
      <c r="B536" s="1">
        <v>45228</v>
      </c>
      <c r="C536" s="1">
        <v>45242</v>
      </c>
      <c r="D536" s="1">
        <v>45610</v>
      </c>
      <c r="E536">
        <v>66169.27</v>
      </c>
      <c r="F536">
        <f t="shared" si="25"/>
        <v>2023</v>
      </c>
      <c r="G536">
        <f t="shared" si="26"/>
        <v>2024</v>
      </c>
      <c r="H536">
        <f t="shared" si="24"/>
        <v>1</v>
      </c>
    </row>
    <row r="537" spans="1:8" x14ac:dyDescent="0.25">
      <c r="A537" t="s">
        <v>2488</v>
      </c>
      <c r="B537" s="1">
        <v>44653</v>
      </c>
      <c r="C537" s="1">
        <v>44704</v>
      </c>
      <c r="D537" s="1">
        <v>44811</v>
      </c>
      <c r="E537">
        <v>74007.929999999993</v>
      </c>
      <c r="F537">
        <f t="shared" si="25"/>
        <v>2022</v>
      </c>
      <c r="G537">
        <f t="shared" si="26"/>
        <v>2022</v>
      </c>
      <c r="H537">
        <f t="shared" si="24"/>
        <v>0</v>
      </c>
    </row>
    <row r="538" spans="1:8" x14ac:dyDescent="0.25">
      <c r="A538" t="s">
        <v>2548</v>
      </c>
      <c r="B538" s="1">
        <v>43914</v>
      </c>
      <c r="C538" s="1">
        <v>43940</v>
      </c>
      <c r="D538" s="1">
        <v>44010</v>
      </c>
      <c r="E538">
        <v>81280.479999999996</v>
      </c>
      <c r="F538">
        <f t="shared" si="25"/>
        <v>2020</v>
      </c>
      <c r="G538">
        <f t="shared" si="26"/>
        <v>2020</v>
      </c>
      <c r="H538">
        <f t="shared" si="24"/>
        <v>0</v>
      </c>
    </row>
    <row r="539" spans="1:8" x14ac:dyDescent="0.25">
      <c r="A539" t="s">
        <v>2549</v>
      </c>
      <c r="B539" s="1">
        <v>43880</v>
      </c>
      <c r="C539" s="1">
        <v>43935</v>
      </c>
      <c r="D539" s="1">
        <v>44326</v>
      </c>
      <c r="E539">
        <v>84043.839999999997</v>
      </c>
      <c r="F539">
        <f t="shared" si="25"/>
        <v>2020</v>
      </c>
      <c r="G539">
        <f t="shared" si="26"/>
        <v>2021</v>
      </c>
      <c r="H539">
        <f t="shared" si="24"/>
        <v>1</v>
      </c>
    </row>
    <row r="540" spans="1:8" x14ac:dyDescent="0.25">
      <c r="A540" t="s">
        <v>2550</v>
      </c>
      <c r="B540" s="1">
        <v>45611</v>
      </c>
      <c r="C540" s="1">
        <v>45621</v>
      </c>
      <c r="D540" s="1">
        <v>45747</v>
      </c>
      <c r="E540">
        <v>61043</v>
      </c>
      <c r="F540">
        <f t="shared" si="25"/>
        <v>2024</v>
      </c>
      <c r="G540">
        <f t="shared" si="26"/>
        <v>2025</v>
      </c>
      <c r="H540">
        <f t="shared" si="24"/>
        <v>1</v>
      </c>
    </row>
    <row r="541" spans="1:8" x14ac:dyDescent="0.25">
      <c r="A541" t="s">
        <v>2525</v>
      </c>
      <c r="B541" s="1">
        <v>43845</v>
      </c>
      <c r="C541" s="1">
        <v>43874</v>
      </c>
      <c r="D541" s="1">
        <v>44077</v>
      </c>
      <c r="E541">
        <v>61634.61</v>
      </c>
      <c r="F541">
        <f t="shared" si="25"/>
        <v>2020</v>
      </c>
      <c r="G541">
        <f t="shared" si="26"/>
        <v>2020</v>
      </c>
      <c r="H541">
        <f t="shared" si="24"/>
        <v>0</v>
      </c>
    </row>
    <row r="542" spans="1:8" x14ac:dyDescent="0.25">
      <c r="A542" t="s">
        <v>2352</v>
      </c>
      <c r="B542" s="1">
        <v>45135</v>
      </c>
      <c r="C542" s="1">
        <v>45148</v>
      </c>
      <c r="D542" s="1">
        <v>45354</v>
      </c>
      <c r="E542">
        <v>62948.31</v>
      </c>
      <c r="F542">
        <f t="shared" si="25"/>
        <v>2023</v>
      </c>
      <c r="G542">
        <f t="shared" si="26"/>
        <v>2024</v>
      </c>
      <c r="H542">
        <f t="shared" si="24"/>
        <v>1</v>
      </c>
    </row>
    <row r="543" spans="1:8" x14ac:dyDescent="0.25">
      <c r="A543" t="s">
        <v>2159</v>
      </c>
      <c r="B543" s="1">
        <v>43851</v>
      </c>
      <c r="C543" s="1">
        <v>43901</v>
      </c>
      <c r="D543" s="1">
        <v>44073</v>
      </c>
      <c r="E543">
        <v>9197.16</v>
      </c>
      <c r="F543">
        <f t="shared" si="25"/>
        <v>2020</v>
      </c>
      <c r="G543">
        <f t="shared" si="26"/>
        <v>2020</v>
      </c>
      <c r="H543">
        <f t="shared" si="24"/>
        <v>0</v>
      </c>
    </row>
    <row r="544" spans="1:8" x14ac:dyDescent="0.25">
      <c r="A544" t="s">
        <v>2551</v>
      </c>
      <c r="B544" s="1">
        <v>44275</v>
      </c>
      <c r="C544" s="1">
        <v>44313</v>
      </c>
      <c r="D544" s="1">
        <v>44338</v>
      </c>
      <c r="E544">
        <v>76083.58</v>
      </c>
      <c r="F544">
        <f t="shared" si="25"/>
        <v>2021</v>
      </c>
      <c r="G544">
        <f t="shared" si="26"/>
        <v>2021</v>
      </c>
      <c r="H544">
        <f t="shared" si="24"/>
        <v>0</v>
      </c>
    </row>
    <row r="545" spans="1:8" x14ac:dyDescent="0.25">
      <c r="A545" t="s">
        <v>2182</v>
      </c>
      <c r="B545" s="1">
        <v>44949</v>
      </c>
      <c r="C545" s="1">
        <v>45015</v>
      </c>
      <c r="D545" s="1">
        <v>45234</v>
      </c>
      <c r="E545">
        <v>49235.99</v>
      </c>
      <c r="F545">
        <f t="shared" si="25"/>
        <v>2023</v>
      </c>
      <c r="G545">
        <f t="shared" si="26"/>
        <v>2023</v>
      </c>
      <c r="H545">
        <f t="shared" si="24"/>
        <v>0</v>
      </c>
    </row>
    <row r="546" spans="1:8" x14ac:dyDescent="0.25">
      <c r="A546" t="s">
        <v>2552</v>
      </c>
      <c r="B546" s="1">
        <v>44797</v>
      </c>
      <c r="C546" s="1">
        <v>44857</v>
      </c>
      <c r="D546" s="1">
        <v>45364</v>
      </c>
      <c r="E546">
        <v>42755.92</v>
      </c>
      <c r="F546">
        <f t="shared" si="25"/>
        <v>2022</v>
      </c>
      <c r="G546">
        <f t="shared" si="26"/>
        <v>2024</v>
      </c>
      <c r="H546">
        <f t="shared" si="24"/>
        <v>2</v>
      </c>
    </row>
    <row r="547" spans="1:8" x14ac:dyDescent="0.25">
      <c r="A547" t="s">
        <v>2150</v>
      </c>
      <c r="B547" s="1">
        <v>44997</v>
      </c>
      <c r="C547" s="1">
        <v>45012</v>
      </c>
      <c r="D547" s="1">
        <v>45348</v>
      </c>
      <c r="E547">
        <v>-10843.24</v>
      </c>
      <c r="F547">
        <f t="shared" si="25"/>
        <v>2023</v>
      </c>
      <c r="G547">
        <f t="shared" si="26"/>
        <v>2024</v>
      </c>
      <c r="H547">
        <f t="shared" si="24"/>
        <v>1</v>
      </c>
    </row>
    <row r="548" spans="1:8" x14ac:dyDescent="0.25">
      <c r="A548" t="s">
        <v>2496</v>
      </c>
      <c r="B548" s="1">
        <v>44687</v>
      </c>
      <c r="C548" s="1">
        <v>44738</v>
      </c>
      <c r="D548" s="1">
        <v>45197</v>
      </c>
      <c r="E548">
        <v>72265.399999999994</v>
      </c>
      <c r="F548">
        <f t="shared" si="25"/>
        <v>2022</v>
      </c>
      <c r="G548">
        <f t="shared" si="26"/>
        <v>2023</v>
      </c>
      <c r="H548">
        <f t="shared" si="24"/>
        <v>1</v>
      </c>
    </row>
    <row r="549" spans="1:8" x14ac:dyDescent="0.25">
      <c r="A549" t="s">
        <v>2230</v>
      </c>
      <c r="B549" s="1">
        <v>45213</v>
      </c>
      <c r="C549" s="1">
        <v>45255</v>
      </c>
      <c r="D549" s="1">
        <v>45380</v>
      </c>
      <c r="E549">
        <v>35200.870000000003</v>
      </c>
      <c r="F549">
        <f t="shared" si="25"/>
        <v>2023</v>
      </c>
      <c r="G549">
        <f t="shared" si="26"/>
        <v>2024</v>
      </c>
      <c r="H549">
        <f t="shared" si="24"/>
        <v>1</v>
      </c>
    </row>
    <row r="550" spans="1:8" x14ac:dyDescent="0.25">
      <c r="A550" t="s">
        <v>2339</v>
      </c>
      <c r="B550" s="1">
        <v>44241</v>
      </c>
      <c r="C550" s="1">
        <v>44272</v>
      </c>
      <c r="D550" s="1">
        <v>44456</v>
      </c>
      <c r="E550">
        <v>-23131.89</v>
      </c>
      <c r="F550">
        <f t="shared" si="25"/>
        <v>2021</v>
      </c>
      <c r="G550">
        <f t="shared" si="26"/>
        <v>2021</v>
      </c>
      <c r="H550">
        <f t="shared" si="24"/>
        <v>0</v>
      </c>
    </row>
    <row r="551" spans="1:8" x14ac:dyDescent="0.25">
      <c r="A551" t="s">
        <v>2446</v>
      </c>
      <c r="B551" s="1">
        <v>44743</v>
      </c>
      <c r="C551" s="1">
        <v>44754</v>
      </c>
      <c r="D551" s="1">
        <v>45084</v>
      </c>
      <c r="E551">
        <v>72138.789999999994</v>
      </c>
      <c r="F551">
        <f t="shared" si="25"/>
        <v>2022</v>
      </c>
      <c r="G551">
        <f t="shared" si="26"/>
        <v>2023</v>
      </c>
      <c r="H551">
        <f t="shared" si="24"/>
        <v>1</v>
      </c>
    </row>
    <row r="552" spans="1:8" x14ac:dyDescent="0.25">
      <c r="A552" t="s">
        <v>2259</v>
      </c>
      <c r="B552" s="1">
        <v>45320</v>
      </c>
      <c r="C552" s="1">
        <v>45349</v>
      </c>
      <c r="D552" s="1">
        <v>45455</v>
      </c>
      <c r="E552">
        <v>32572.67</v>
      </c>
      <c r="F552">
        <f t="shared" si="25"/>
        <v>2024</v>
      </c>
      <c r="G552">
        <f t="shared" si="26"/>
        <v>2024</v>
      </c>
      <c r="H552">
        <f t="shared" si="24"/>
        <v>0</v>
      </c>
    </row>
    <row r="553" spans="1:8" x14ac:dyDescent="0.25">
      <c r="A553" t="s">
        <v>2553</v>
      </c>
      <c r="B553" s="1">
        <v>44224</v>
      </c>
      <c r="C553" s="1">
        <v>44259</v>
      </c>
      <c r="D553" s="1">
        <v>45063</v>
      </c>
      <c r="E553">
        <v>-21003.39</v>
      </c>
      <c r="F553">
        <f t="shared" si="25"/>
        <v>2021</v>
      </c>
      <c r="G553">
        <f t="shared" si="26"/>
        <v>2023</v>
      </c>
      <c r="H553">
        <f t="shared" si="24"/>
        <v>2</v>
      </c>
    </row>
    <row r="554" spans="1:8" x14ac:dyDescent="0.25">
      <c r="A554" t="s">
        <v>2554</v>
      </c>
      <c r="B554" s="1">
        <v>45558</v>
      </c>
      <c r="C554" s="1">
        <v>45591</v>
      </c>
      <c r="D554" s="1">
        <v>45660</v>
      </c>
      <c r="E554">
        <v>14605.31</v>
      </c>
      <c r="F554">
        <f t="shared" si="25"/>
        <v>2024</v>
      </c>
      <c r="G554">
        <f t="shared" si="26"/>
        <v>2025</v>
      </c>
      <c r="H554">
        <f t="shared" si="24"/>
        <v>1</v>
      </c>
    </row>
    <row r="555" spans="1:8" x14ac:dyDescent="0.25">
      <c r="A555" t="s">
        <v>2555</v>
      </c>
      <c r="B555" s="1">
        <v>43851</v>
      </c>
      <c r="C555" s="1">
        <v>43906</v>
      </c>
      <c r="D555" s="1">
        <v>43939</v>
      </c>
      <c r="E555">
        <v>42423.28</v>
      </c>
      <c r="F555">
        <f t="shared" si="25"/>
        <v>2020</v>
      </c>
      <c r="G555">
        <f t="shared" si="26"/>
        <v>2020</v>
      </c>
      <c r="H555">
        <f t="shared" si="24"/>
        <v>0</v>
      </c>
    </row>
    <row r="556" spans="1:8" x14ac:dyDescent="0.25">
      <c r="A556" t="s">
        <v>2489</v>
      </c>
      <c r="B556" s="1">
        <v>44641</v>
      </c>
      <c r="C556" s="1">
        <v>44720</v>
      </c>
      <c r="D556" s="1">
        <v>44959</v>
      </c>
      <c r="E556">
        <v>79631.16</v>
      </c>
      <c r="F556">
        <f t="shared" si="25"/>
        <v>2022</v>
      </c>
      <c r="G556">
        <f t="shared" si="26"/>
        <v>2023</v>
      </c>
      <c r="H556">
        <f t="shared" si="24"/>
        <v>1</v>
      </c>
    </row>
    <row r="557" spans="1:8" x14ac:dyDescent="0.25">
      <c r="A557" t="s">
        <v>2498</v>
      </c>
      <c r="B557" s="1">
        <v>44990</v>
      </c>
      <c r="C557" s="1">
        <v>44998</v>
      </c>
      <c r="D557" s="1">
        <v>45124</v>
      </c>
      <c r="E557">
        <v>17104.439999999999</v>
      </c>
      <c r="F557">
        <f t="shared" si="25"/>
        <v>2023</v>
      </c>
      <c r="G557">
        <f t="shared" si="26"/>
        <v>2023</v>
      </c>
      <c r="H557">
        <f t="shared" si="24"/>
        <v>0</v>
      </c>
    </row>
    <row r="558" spans="1:8" x14ac:dyDescent="0.25">
      <c r="A558" t="s">
        <v>2556</v>
      </c>
      <c r="B558" s="1">
        <v>45090</v>
      </c>
      <c r="C558" s="1">
        <v>45156</v>
      </c>
      <c r="D558" s="1">
        <v>45656</v>
      </c>
      <c r="E558">
        <v>-16640.03</v>
      </c>
      <c r="F558">
        <f t="shared" si="25"/>
        <v>2023</v>
      </c>
      <c r="G558">
        <f t="shared" si="26"/>
        <v>2024</v>
      </c>
      <c r="H558">
        <f t="shared" si="24"/>
        <v>1</v>
      </c>
    </row>
    <row r="559" spans="1:8" x14ac:dyDescent="0.25">
      <c r="A559" t="s">
        <v>2557</v>
      </c>
      <c r="B559" s="1">
        <v>44909</v>
      </c>
      <c r="C559" s="1">
        <v>44958</v>
      </c>
      <c r="D559" s="1">
        <v>45318</v>
      </c>
      <c r="E559">
        <v>-23066.75</v>
      </c>
      <c r="F559">
        <f t="shared" si="25"/>
        <v>2022</v>
      </c>
      <c r="G559">
        <f t="shared" si="26"/>
        <v>2024</v>
      </c>
      <c r="H559">
        <f t="shared" si="24"/>
        <v>2</v>
      </c>
    </row>
    <row r="560" spans="1:8" x14ac:dyDescent="0.25">
      <c r="A560" t="s">
        <v>2347</v>
      </c>
      <c r="B560" s="1">
        <v>45130</v>
      </c>
      <c r="C560" s="1">
        <v>45189</v>
      </c>
      <c r="D560" s="1">
        <v>45234</v>
      </c>
      <c r="E560">
        <v>49827.43</v>
      </c>
      <c r="F560">
        <f t="shared" si="25"/>
        <v>2023</v>
      </c>
      <c r="G560">
        <f t="shared" si="26"/>
        <v>2023</v>
      </c>
      <c r="H560">
        <f t="shared" si="24"/>
        <v>0</v>
      </c>
    </row>
    <row r="561" spans="1:8" x14ac:dyDescent="0.25">
      <c r="A561" t="s">
        <v>2437</v>
      </c>
      <c r="B561" s="1">
        <v>45012</v>
      </c>
      <c r="C561" s="1">
        <v>45024</v>
      </c>
      <c r="D561" s="1">
        <v>45470</v>
      </c>
      <c r="E561">
        <v>11334.56</v>
      </c>
      <c r="F561">
        <f t="shared" si="25"/>
        <v>2023</v>
      </c>
      <c r="G561">
        <f t="shared" si="26"/>
        <v>2024</v>
      </c>
      <c r="H561">
        <f t="shared" si="24"/>
        <v>1</v>
      </c>
    </row>
    <row r="562" spans="1:8" x14ac:dyDescent="0.25">
      <c r="A562" t="s">
        <v>2558</v>
      </c>
      <c r="B562" s="1">
        <v>45437</v>
      </c>
      <c r="C562" s="1">
        <v>45503</v>
      </c>
      <c r="D562" s="1">
        <v>45688</v>
      </c>
      <c r="E562">
        <v>71059.490000000005</v>
      </c>
      <c r="F562">
        <f t="shared" si="25"/>
        <v>2024</v>
      </c>
      <c r="G562">
        <f t="shared" si="26"/>
        <v>2025</v>
      </c>
      <c r="H562">
        <f t="shared" si="24"/>
        <v>1</v>
      </c>
    </row>
    <row r="563" spans="1:8" x14ac:dyDescent="0.25">
      <c r="A563" t="s">
        <v>2559</v>
      </c>
      <c r="B563" s="1">
        <v>44469</v>
      </c>
      <c r="C563" s="1">
        <v>44536</v>
      </c>
      <c r="D563" s="1">
        <v>44900</v>
      </c>
      <c r="E563">
        <v>66496.28</v>
      </c>
      <c r="F563">
        <f t="shared" si="25"/>
        <v>2021</v>
      </c>
      <c r="G563">
        <f t="shared" si="26"/>
        <v>2022</v>
      </c>
      <c r="H563">
        <f t="shared" si="24"/>
        <v>1</v>
      </c>
    </row>
    <row r="564" spans="1:8" x14ac:dyDescent="0.25">
      <c r="A564" t="s">
        <v>2432</v>
      </c>
      <c r="B564" s="1">
        <v>44040</v>
      </c>
      <c r="C564" s="1">
        <v>44048</v>
      </c>
      <c r="D564" s="1">
        <v>44436</v>
      </c>
      <c r="E564">
        <v>54938.32</v>
      </c>
      <c r="F564">
        <f t="shared" si="25"/>
        <v>2020</v>
      </c>
      <c r="G564">
        <f t="shared" si="26"/>
        <v>2021</v>
      </c>
      <c r="H564">
        <f t="shared" si="24"/>
        <v>1</v>
      </c>
    </row>
    <row r="565" spans="1:8" x14ac:dyDescent="0.25">
      <c r="A565" t="s">
        <v>2360</v>
      </c>
      <c r="B565" s="1">
        <v>43944</v>
      </c>
      <c r="C565" s="1">
        <v>43953</v>
      </c>
      <c r="D565" s="1">
        <v>44155</v>
      </c>
      <c r="E565">
        <v>25207.71</v>
      </c>
      <c r="F565">
        <f t="shared" si="25"/>
        <v>2020</v>
      </c>
      <c r="G565">
        <f t="shared" si="26"/>
        <v>2020</v>
      </c>
      <c r="H565">
        <f t="shared" si="24"/>
        <v>0</v>
      </c>
    </row>
    <row r="566" spans="1:8" x14ac:dyDescent="0.25">
      <c r="A566" t="s">
        <v>2560</v>
      </c>
      <c r="B566" s="1">
        <v>44992</v>
      </c>
      <c r="C566" s="1">
        <v>45065</v>
      </c>
      <c r="D566" s="1">
        <v>45417</v>
      </c>
      <c r="E566">
        <v>24013.29</v>
      </c>
      <c r="F566">
        <f t="shared" si="25"/>
        <v>2023</v>
      </c>
      <c r="G566">
        <f t="shared" si="26"/>
        <v>2024</v>
      </c>
      <c r="H566">
        <f t="shared" si="24"/>
        <v>1</v>
      </c>
    </row>
    <row r="567" spans="1:8" x14ac:dyDescent="0.25">
      <c r="A567" t="s">
        <v>2561</v>
      </c>
      <c r="B567" s="1">
        <v>44114</v>
      </c>
      <c r="C567" s="1">
        <v>44117</v>
      </c>
      <c r="D567" s="1">
        <v>44395</v>
      </c>
      <c r="E567">
        <v>35825.620000000003</v>
      </c>
      <c r="F567">
        <f t="shared" si="25"/>
        <v>2020</v>
      </c>
      <c r="G567">
        <f t="shared" si="26"/>
        <v>2021</v>
      </c>
      <c r="H567">
        <f t="shared" si="24"/>
        <v>1</v>
      </c>
    </row>
    <row r="568" spans="1:8" x14ac:dyDescent="0.25">
      <c r="A568" t="s">
        <v>2562</v>
      </c>
      <c r="B568" s="1">
        <v>45112</v>
      </c>
      <c r="C568" s="1">
        <v>45119</v>
      </c>
      <c r="D568" s="1">
        <v>45177</v>
      </c>
      <c r="E568">
        <v>48925.55</v>
      </c>
      <c r="F568">
        <f t="shared" si="25"/>
        <v>2023</v>
      </c>
      <c r="G568">
        <f t="shared" si="26"/>
        <v>2023</v>
      </c>
      <c r="H568">
        <f t="shared" si="24"/>
        <v>0</v>
      </c>
    </row>
    <row r="569" spans="1:8" x14ac:dyDescent="0.25">
      <c r="A569" t="s">
        <v>2517</v>
      </c>
      <c r="B569" s="1">
        <v>44628</v>
      </c>
      <c r="C569" s="1">
        <v>44691</v>
      </c>
      <c r="D569" s="1">
        <v>45215</v>
      </c>
      <c r="E569">
        <v>-1989.02</v>
      </c>
      <c r="F569">
        <f t="shared" si="25"/>
        <v>2022</v>
      </c>
      <c r="G569">
        <f t="shared" si="26"/>
        <v>2023</v>
      </c>
      <c r="H569">
        <f t="shared" si="24"/>
        <v>1</v>
      </c>
    </row>
    <row r="570" spans="1:8" x14ac:dyDescent="0.25">
      <c r="A570" t="s">
        <v>2334</v>
      </c>
      <c r="B570" s="1">
        <v>45344</v>
      </c>
      <c r="C570" s="1">
        <v>45391</v>
      </c>
      <c r="D570" s="1">
        <v>45669</v>
      </c>
      <c r="E570">
        <v>-317444.92</v>
      </c>
      <c r="F570">
        <f t="shared" si="25"/>
        <v>2024</v>
      </c>
      <c r="G570">
        <f t="shared" si="26"/>
        <v>2025</v>
      </c>
      <c r="H570">
        <f t="shared" si="24"/>
        <v>1</v>
      </c>
    </row>
    <row r="571" spans="1:8" x14ac:dyDescent="0.25">
      <c r="A571" t="s">
        <v>2563</v>
      </c>
      <c r="B571" s="1">
        <v>44474</v>
      </c>
      <c r="C571" s="1">
        <v>44534</v>
      </c>
      <c r="D571" s="1">
        <v>45034</v>
      </c>
      <c r="E571">
        <v>66514.289999999994</v>
      </c>
      <c r="F571">
        <f t="shared" si="25"/>
        <v>2021</v>
      </c>
      <c r="G571">
        <f t="shared" si="26"/>
        <v>2023</v>
      </c>
      <c r="H571">
        <f t="shared" si="24"/>
        <v>2</v>
      </c>
    </row>
    <row r="572" spans="1:8" x14ac:dyDescent="0.25">
      <c r="A572" t="s">
        <v>2178</v>
      </c>
      <c r="B572" s="1">
        <v>44836</v>
      </c>
      <c r="C572" s="1">
        <v>44858</v>
      </c>
      <c r="D572" s="1">
        <v>45224</v>
      </c>
      <c r="E572">
        <v>-9764.3700000000008</v>
      </c>
      <c r="F572">
        <f t="shared" si="25"/>
        <v>2022</v>
      </c>
      <c r="G572">
        <f t="shared" si="26"/>
        <v>2023</v>
      </c>
      <c r="H572">
        <f t="shared" si="24"/>
        <v>1</v>
      </c>
    </row>
    <row r="573" spans="1:8" x14ac:dyDescent="0.25">
      <c r="A573" t="s">
        <v>2318</v>
      </c>
      <c r="B573" s="1">
        <v>44534</v>
      </c>
      <c r="C573" s="1">
        <v>44562</v>
      </c>
      <c r="D573" s="1">
        <v>45016</v>
      </c>
      <c r="E573">
        <v>52000.06</v>
      </c>
      <c r="F573">
        <f t="shared" si="25"/>
        <v>2021</v>
      </c>
      <c r="G573">
        <f t="shared" si="26"/>
        <v>2023</v>
      </c>
      <c r="H573">
        <f t="shared" si="24"/>
        <v>2</v>
      </c>
    </row>
    <row r="574" spans="1:8" x14ac:dyDescent="0.25">
      <c r="A574" t="s">
        <v>2564</v>
      </c>
      <c r="B574" s="1">
        <v>44585</v>
      </c>
      <c r="C574" s="1">
        <v>44623</v>
      </c>
      <c r="D574" s="1">
        <v>44887</v>
      </c>
      <c r="E574">
        <v>-23750.240000000002</v>
      </c>
      <c r="F574">
        <f t="shared" si="25"/>
        <v>2022</v>
      </c>
      <c r="G574">
        <f t="shared" si="26"/>
        <v>2022</v>
      </c>
      <c r="H574">
        <f t="shared" si="24"/>
        <v>0</v>
      </c>
    </row>
    <row r="575" spans="1:8" x14ac:dyDescent="0.25">
      <c r="A575" t="s">
        <v>2565</v>
      </c>
      <c r="B575" s="1">
        <v>44491</v>
      </c>
      <c r="C575" s="1">
        <v>44549</v>
      </c>
      <c r="D575" s="1">
        <v>44643</v>
      </c>
      <c r="E575">
        <v>78689.05</v>
      </c>
      <c r="F575">
        <f t="shared" si="25"/>
        <v>2021</v>
      </c>
      <c r="G575">
        <f t="shared" si="26"/>
        <v>2022</v>
      </c>
      <c r="H575">
        <f t="shared" si="24"/>
        <v>1</v>
      </c>
    </row>
    <row r="576" spans="1:8" x14ac:dyDescent="0.25">
      <c r="A576" t="s">
        <v>2181</v>
      </c>
      <c r="B576" s="1">
        <v>45063</v>
      </c>
      <c r="C576" s="1">
        <v>45132</v>
      </c>
      <c r="D576" s="1">
        <v>45201</v>
      </c>
      <c r="E576">
        <v>-19208.87</v>
      </c>
      <c r="F576">
        <f t="shared" si="25"/>
        <v>2023</v>
      </c>
      <c r="G576">
        <f t="shared" si="26"/>
        <v>2023</v>
      </c>
      <c r="H576">
        <f t="shared" si="24"/>
        <v>0</v>
      </c>
    </row>
    <row r="577" spans="1:8" x14ac:dyDescent="0.25">
      <c r="A577" t="s">
        <v>2467</v>
      </c>
      <c r="B577" s="1">
        <v>45111</v>
      </c>
      <c r="C577" s="1">
        <v>45190</v>
      </c>
      <c r="D577" s="1">
        <v>45454</v>
      </c>
      <c r="E577">
        <v>58362</v>
      </c>
      <c r="F577">
        <f t="shared" si="25"/>
        <v>2023</v>
      </c>
      <c r="G577">
        <f t="shared" si="26"/>
        <v>2024</v>
      </c>
      <c r="H577">
        <f t="shared" si="24"/>
        <v>1</v>
      </c>
    </row>
    <row r="578" spans="1:8" x14ac:dyDescent="0.25">
      <c r="A578" t="s">
        <v>2191</v>
      </c>
      <c r="B578" s="1">
        <v>44009</v>
      </c>
      <c r="C578" s="1">
        <v>44052</v>
      </c>
      <c r="D578" s="1">
        <v>44287</v>
      </c>
      <c r="E578">
        <v>80708.27</v>
      </c>
      <c r="F578">
        <f t="shared" si="25"/>
        <v>2020</v>
      </c>
      <c r="G578">
        <f t="shared" si="26"/>
        <v>2021</v>
      </c>
      <c r="H578">
        <f t="shared" ref="H578:H641" si="27">MAX(0,G578-F578)</f>
        <v>1</v>
      </c>
    </row>
    <row r="579" spans="1:8" x14ac:dyDescent="0.25">
      <c r="A579" t="s">
        <v>2337</v>
      </c>
      <c r="B579" s="1">
        <v>45203</v>
      </c>
      <c r="C579" s="1">
        <v>45223</v>
      </c>
      <c r="D579" s="1">
        <v>45341</v>
      </c>
      <c r="E579">
        <v>10439.73</v>
      </c>
      <c r="F579">
        <f t="shared" ref="F579:F642" si="28">YEAR(B579)</f>
        <v>2023</v>
      </c>
      <c r="G579">
        <f t="shared" ref="G579:G642" si="29">YEAR(D579)</f>
        <v>2024</v>
      </c>
      <c r="H579">
        <f t="shared" si="27"/>
        <v>1</v>
      </c>
    </row>
    <row r="580" spans="1:8" x14ac:dyDescent="0.25">
      <c r="A580" t="s">
        <v>2566</v>
      </c>
      <c r="B580" s="1">
        <v>44323</v>
      </c>
      <c r="C580" s="1">
        <v>44368</v>
      </c>
      <c r="D580" s="1">
        <v>44498</v>
      </c>
      <c r="E580">
        <v>1150110.28</v>
      </c>
      <c r="F580">
        <f t="shared" si="28"/>
        <v>2021</v>
      </c>
      <c r="G580">
        <f t="shared" si="29"/>
        <v>2021</v>
      </c>
      <c r="H580">
        <f t="shared" si="27"/>
        <v>0</v>
      </c>
    </row>
    <row r="581" spans="1:8" x14ac:dyDescent="0.25">
      <c r="A581" t="s">
        <v>2567</v>
      </c>
      <c r="B581" s="1">
        <v>44242</v>
      </c>
      <c r="C581" s="1">
        <v>44294</v>
      </c>
      <c r="D581" s="1">
        <v>44461</v>
      </c>
      <c r="E581">
        <v>83012.759999999995</v>
      </c>
      <c r="F581">
        <f t="shared" si="28"/>
        <v>2021</v>
      </c>
      <c r="G581">
        <f t="shared" si="29"/>
        <v>2021</v>
      </c>
      <c r="H581">
        <f t="shared" si="27"/>
        <v>0</v>
      </c>
    </row>
    <row r="582" spans="1:8" x14ac:dyDescent="0.25">
      <c r="A582" t="s">
        <v>2568</v>
      </c>
      <c r="B582" s="1">
        <v>44589</v>
      </c>
      <c r="C582" s="1">
        <v>44615</v>
      </c>
      <c r="D582" s="1">
        <v>44719</v>
      </c>
      <c r="E582">
        <v>12268.68</v>
      </c>
      <c r="F582">
        <f t="shared" si="28"/>
        <v>2022</v>
      </c>
      <c r="G582">
        <f t="shared" si="29"/>
        <v>2022</v>
      </c>
      <c r="H582">
        <f t="shared" si="27"/>
        <v>0</v>
      </c>
    </row>
    <row r="583" spans="1:8" x14ac:dyDescent="0.25">
      <c r="A583" t="s">
        <v>2372</v>
      </c>
      <c r="B583" s="1">
        <v>45548</v>
      </c>
      <c r="C583" s="1">
        <v>45557</v>
      </c>
      <c r="D583" s="1">
        <v>45751</v>
      </c>
      <c r="E583">
        <v>62771.56</v>
      </c>
      <c r="F583">
        <f t="shared" si="28"/>
        <v>2024</v>
      </c>
      <c r="G583">
        <f t="shared" si="29"/>
        <v>2025</v>
      </c>
      <c r="H583">
        <f t="shared" si="27"/>
        <v>1</v>
      </c>
    </row>
    <row r="584" spans="1:8" x14ac:dyDescent="0.25">
      <c r="A584" t="s">
        <v>2313</v>
      </c>
      <c r="B584" s="1">
        <v>44958</v>
      </c>
      <c r="C584" s="1">
        <v>44974</v>
      </c>
      <c r="D584" s="1">
        <v>45308</v>
      </c>
      <c r="E584">
        <v>9104.86</v>
      </c>
      <c r="F584">
        <f t="shared" si="28"/>
        <v>2023</v>
      </c>
      <c r="G584">
        <f t="shared" si="29"/>
        <v>2024</v>
      </c>
      <c r="H584">
        <f t="shared" si="27"/>
        <v>1</v>
      </c>
    </row>
    <row r="585" spans="1:8" x14ac:dyDescent="0.25">
      <c r="A585" t="s">
        <v>2569</v>
      </c>
      <c r="B585" s="1">
        <v>44855</v>
      </c>
      <c r="C585" s="1">
        <v>44920</v>
      </c>
      <c r="D585" s="1">
        <v>45456</v>
      </c>
      <c r="E585">
        <v>84916.71</v>
      </c>
      <c r="F585">
        <f t="shared" si="28"/>
        <v>2022</v>
      </c>
      <c r="G585">
        <f t="shared" si="29"/>
        <v>2024</v>
      </c>
      <c r="H585">
        <f t="shared" si="27"/>
        <v>2</v>
      </c>
    </row>
    <row r="586" spans="1:8" x14ac:dyDescent="0.25">
      <c r="A586" t="s">
        <v>2570</v>
      </c>
      <c r="B586" s="1">
        <v>44768</v>
      </c>
      <c r="C586" s="1">
        <v>44794</v>
      </c>
      <c r="D586" s="1">
        <v>44993</v>
      </c>
      <c r="E586">
        <v>56754.38</v>
      </c>
      <c r="F586">
        <f t="shared" si="28"/>
        <v>2022</v>
      </c>
      <c r="G586">
        <f t="shared" si="29"/>
        <v>2023</v>
      </c>
      <c r="H586">
        <f t="shared" si="27"/>
        <v>1</v>
      </c>
    </row>
    <row r="587" spans="1:8" x14ac:dyDescent="0.25">
      <c r="A587" t="s">
        <v>2381</v>
      </c>
      <c r="B587" s="1">
        <v>45329</v>
      </c>
      <c r="C587" s="1">
        <v>45335</v>
      </c>
      <c r="D587" s="1">
        <v>45426</v>
      </c>
      <c r="E587">
        <v>36587.29</v>
      </c>
      <c r="F587">
        <f t="shared" si="28"/>
        <v>2024</v>
      </c>
      <c r="G587">
        <f t="shared" si="29"/>
        <v>2024</v>
      </c>
      <c r="H587">
        <f t="shared" si="27"/>
        <v>0</v>
      </c>
    </row>
    <row r="588" spans="1:8" x14ac:dyDescent="0.25">
      <c r="A588" t="s">
        <v>2242</v>
      </c>
      <c r="B588" s="1">
        <v>44808</v>
      </c>
      <c r="C588" s="1">
        <v>44826</v>
      </c>
      <c r="D588" s="1">
        <v>45032</v>
      </c>
      <c r="E588">
        <v>34695.379999999997</v>
      </c>
      <c r="F588">
        <f t="shared" si="28"/>
        <v>2022</v>
      </c>
      <c r="G588">
        <f t="shared" si="29"/>
        <v>2023</v>
      </c>
      <c r="H588">
        <f t="shared" si="27"/>
        <v>1</v>
      </c>
    </row>
    <row r="589" spans="1:8" x14ac:dyDescent="0.25">
      <c r="A589" t="s">
        <v>2571</v>
      </c>
      <c r="B589" s="1">
        <v>45462</v>
      </c>
      <c r="C589" s="1">
        <v>45479</v>
      </c>
      <c r="D589" s="1">
        <v>45622</v>
      </c>
      <c r="E589">
        <v>18127.93</v>
      </c>
      <c r="F589">
        <f t="shared" si="28"/>
        <v>2024</v>
      </c>
      <c r="G589">
        <f t="shared" si="29"/>
        <v>2024</v>
      </c>
      <c r="H589">
        <f t="shared" si="27"/>
        <v>0</v>
      </c>
    </row>
    <row r="590" spans="1:8" x14ac:dyDescent="0.25">
      <c r="A590" t="s">
        <v>2572</v>
      </c>
      <c r="B590" s="1">
        <v>45096</v>
      </c>
      <c r="C590" s="1">
        <v>45120</v>
      </c>
      <c r="D590" s="1">
        <v>45310</v>
      </c>
      <c r="E590">
        <v>57676.98</v>
      </c>
      <c r="F590">
        <f t="shared" si="28"/>
        <v>2023</v>
      </c>
      <c r="G590">
        <f t="shared" si="29"/>
        <v>2024</v>
      </c>
      <c r="H590">
        <f t="shared" si="27"/>
        <v>1</v>
      </c>
    </row>
    <row r="591" spans="1:8" x14ac:dyDescent="0.25">
      <c r="A591" t="s">
        <v>2495</v>
      </c>
      <c r="B591" s="1">
        <v>44683</v>
      </c>
      <c r="C591" s="1">
        <v>44706</v>
      </c>
      <c r="D591" s="1">
        <v>44745</v>
      </c>
      <c r="E591">
        <v>39147.18</v>
      </c>
      <c r="F591">
        <f t="shared" si="28"/>
        <v>2022</v>
      </c>
      <c r="G591">
        <f t="shared" si="29"/>
        <v>2022</v>
      </c>
      <c r="H591">
        <f t="shared" si="27"/>
        <v>0</v>
      </c>
    </row>
    <row r="592" spans="1:8" x14ac:dyDescent="0.25">
      <c r="A592" t="s">
        <v>2370</v>
      </c>
      <c r="B592" s="1">
        <v>45098</v>
      </c>
      <c r="C592" s="1">
        <v>45178</v>
      </c>
      <c r="D592" s="1">
        <v>45561</v>
      </c>
      <c r="E592">
        <v>9050.34</v>
      </c>
      <c r="F592">
        <f t="shared" si="28"/>
        <v>2023</v>
      </c>
      <c r="G592">
        <f t="shared" si="29"/>
        <v>2024</v>
      </c>
      <c r="H592">
        <f t="shared" si="27"/>
        <v>1</v>
      </c>
    </row>
    <row r="593" spans="1:8" x14ac:dyDescent="0.25">
      <c r="A593" t="s">
        <v>2269</v>
      </c>
      <c r="B593" s="1">
        <v>45205</v>
      </c>
      <c r="C593" s="1">
        <v>45244</v>
      </c>
      <c r="D593" s="1">
        <v>45404</v>
      </c>
      <c r="E593">
        <v>-10042.370000000001</v>
      </c>
      <c r="F593">
        <f t="shared" si="28"/>
        <v>2023</v>
      </c>
      <c r="G593">
        <f t="shared" si="29"/>
        <v>2024</v>
      </c>
      <c r="H593">
        <f t="shared" si="27"/>
        <v>1</v>
      </c>
    </row>
    <row r="594" spans="1:8" x14ac:dyDescent="0.25">
      <c r="A594" t="s">
        <v>2573</v>
      </c>
      <c r="B594" s="1">
        <v>44887</v>
      </c>
      <c r="C594" s="1">
        <v>44949</v>
      </c>
      <c r="D594" s="1">
        <v>45030</v>
      </c>
      <c r="E594">
        <v>8928.56</v>
      </c>
      <c r="F594">
        <f t="shared" si="28"/>
        <v>2022</v>
      </c>
      <c r="G594">
        <f t="shared" si="29"/>
        <v>2023</v>
      </c>
      <c r="H594">
        <f t="shared" si="27"/>
        <v>1</v>
      </c>
    </row>
    <row r="595" spans="1:8" x14ac:dyDescent="0.25">
      <c r="A595" t="s">
        <v>2574</v>
      </c>
      <c r="B595" s="1">
        <v>44566</v>
      </c>
      <c r="C595" s="1">
        <v>44610</v>
      </c>
      <c r="D595" s="1">
        <v>44820</v>
      </c>
      <c r="E595">
        <v>36898.47</v>
      </c>
      <c r="F595">
        <f t="shared" si="28"/>
        <v>2022</v>
      </c>
      <c r="G595">
        <f t="shared" si="29"/>
        <v>2022</v>
      </c>
      <c r="H595">
        <f t="shared" si="27"/>
        <v>0</v>
      </c>
    </row>
    <row r="596" spans="1:8" x14ac:dyDescent="0.25">
      <c r="A596" t="s">
        <v>2575</v>
      </c>
      <c r="B596" s="1">
        <v>45640</v>
      </c>
      <c r="C596" s="1">
        <v>45696</v>
      </c>
      <c r="D596" s="1">
        <v>45786</v>
      </c>
      <c r="E596">
        <v>4779.4399999999996</v>
      </c>
      <c r="F596">
        <f t="shared" si="28"/>
        <v>2024</v>
      </c>
      <c r="G596">
        <f t="shared" si="29"/>
        <v>2025</v>
      </c>
      <c r="H596">
        <f t="shared" si="27"/>
        <v>1</v>
      </c>
    </row>
    <row r="597" spans="1:8" x14ac:dyDescent="0.25">
      <c r="A597" t="s">
        <v>2483</v>
      </c>
      <c r="B597" s="1">
        <v>45018</v>
      </c>
      <c r="C597" s="1">
        <v>45080</v>
      </c>
      <c r="D597" s="1">
        <v>45148</v>
      </c>
      <c r="E597">
        <v>9237.73</v>
      </c>
      <c r="F597">
        <f t="shared" si="28"/>
        <v>2023</v>
      </c>
      <c r="G597">
        <f t="shared" si="29"/>
        <v>2023</v>
      </c>
      <c r="H597">
        <f t="shared" si="27"/>
        <v>0</v>
      </c>
    </row>
    <row r="598" spans="1:8" x14ac:dyDescent="0.25">
      <c r="A598" t="s">
        <v>2353</v>
      </c>
      <c r="B598" s="1">
        <v>45201</v>
      </c>
      <c r="D598" s="1">
        <v>45617</v>
      </c>
      <c r="E598">
        <v>40929.160000000003</v>
      </c>
      <c r="F598">
        <f t="shared" si="28"/>
        <v>2023</v>
      </c>
      <c r="G598">
        <f t="shared" si="29"/>
        <v>2024</v>
      </c>
      <c r="H598">
        <f t="shared" si="27"/>
        <v>1</v>
      </c>
    </row>
    <row r="599" spans="1:8" x14ac:dyDescent="0.25">
      <c r="A599" t="s">
        <v>2576</v>
      </c>
      <c r="B599" s="1">
        <v>45595</v>
      </c>
      <c r="C599" s="1">
        <v>45619</v>
      </c>
      <c r="D599" s="1">
        <v>45641</v>
      </c>
      <c r="E599">
        <v>61945.67</v>
      </c>
      <c r="F599">
        <f t="shared" si="28"/>
        <v>2024</v>
      </c>
      <c r="G599">
        <f t="shared" si="29"/>
        <v>2024</v>
      </c>
      <c r="H599">
        <f t="shared" si="27"/>
        <v>0</v>
      </c>
    </row>
    <row r="600" spans="1:8" x14ac:dyDescent="0.25">
      <c r="A600" t="s">
        <v>2577</v>
      </c>
      <c r="B600" s="1">
        <v>43975</v>
      </c>
      <c r="C600" s="1">
        <v>44060</v>
      </c>
      <c r="D600" s="1">
        <v>44209</v>
      </c>
      <c r="E600">
        <v>12500.6</v>
      </c>
      <c r="F600">
        <f t="shared" si="28"/>
        <v>2020</v>
      </c>
      <c r="G600">
        <f t="shared" si="29"/>
        <v>2021</v>
      </c>
      <c r="H600">
        <f t="shared" si="27"/>
        <v>1</v>
      </c>
    </row>
    <row r="601" spans="1:8" x14ac:dyDescent="0.25">
      <c r="A601" t="s">
        <v>2410</v>
      </c>
      <c r="B601" s="1">
        <v>44405</v>
      </c>
      <c r="C601" s="1">
        <v>44407</v>
      </c>
      <c r="D601" s="1">
        <v>44699</v>
      </c>
      <c r="E601">
        <v>40714.629999999997</v>
      </c>
      <c r="F601">
        <f t="shared" si="28"/>
        <v>2021</v>
      </c>
      <c r="G601">
        <f t="shared" si="29"/>
        <v>2022</v>
      </c>
      <c r="H601">
        <f t="shared" si="27"/>
        <v>1</v>
      </c>
    </row>
    <row r="602" spans="1:8" x14ac:dyDescent="0.25">
      <c r="A602" t="s">
        <v>2578</v>
      </c>
      <c r="B602" s="1">
        <v>44191</v>
      </c>
      <c r="C602" s="1">
        <v>44222</v>
      </c>
      <c r="D602" s="1">
        <v>44339</v>
      </c>
      <c r="E602">
        <v>78705.990000000005</v>
      </c>
      <c r="F602">
        <f t="shared" si="28"/>
        <v>2020</v>
      </c>
      <c r="G602">
        <f t="shared" si="29"/>
        <v>2021</v>
      </c>
      <c r="H602">
        <f t="shared" si="27"/>
        <v>1</v>
      </c>
    </row>
    <row r="603" spans="1:8" x14ac:dyDescent="0.25">
      <c r="A603" t="s">
        <v>2342</v>
      </c>
      <c r="B603" s="1">
        <v>44964</v>
      </c>
      <c r="C603" s="1">
        <v>45029</v>
      </c>
      <c r="D603" s="1">
        <v>45152</v>
      </c>
      <c r="E603">
        <v>6300.79</v>
      </c>
      <c r="F603">
        <f t="shared" si="28"/>
        <v>2023</v>
      </c>
      <c r="G603">
        <f t="shared" si="29"/>
        <v>2023</v>
      </c>
      <c r="H603">
        <f t="shared" si="27"/>
        <v>0</v>
      </c>
    </row>
    <row r="604" spans="1:8" x14ac:dyDescent="0.25">
      <c r="A604" t="s">
        <v>2579</v>
      </c>
      <c r="B604" s="1">
        <v>45244</v>
      </c>
      <c r="C604" s="1">
        <v>45256</v>
      </c>
      <c r="D604" s="1">
        <v>45311</v>
      </c>
      <c r="E604">
        <v>77260.789999999994</v>
      </c>
      <c r="F604">
        <f t="shared" si="28"/>
        <v>2023</v>
      </c>
      <c r="G604">
        <f t="shared" si="29"/>
        <v>2024</v>
      </c>
      <c r="H604">
        <f t="shared" si="27"/>
        <v>1</v>
      </c>
    </row>
    <row r="605" spans="1:8" x14ac:dyDescent="0.25">
      <c r="A605" t="s">
        <v>2580</v>
      </c>
      <c r="B605" s="1">
        <v>44955</v>
      </c>
      <c r="C605" s="1">
        <v>45019</v>
      </c>
      <c r="D605" s="1">
        <v>45148</v>
      </c>
      <c r="E605">
        <v>-23705.45</v>
      </c>
      <c r="F605">
        <f t="shared" si="28"/>
        <v>2023</v>
      </c>
      <c r="G605">
        <f t="shared" si="29"/>
        <v>2023</v>
      </c>
      <c r="H605">
        <f t="shared" si="27"/>
        <v>0</v>
      </c>
    </row>
    <row r="606" spans="1:8" x14ac:dyDescent="0.25">
      <c r="A606" t="s">
        <v>2210</v>
      </c>
      <c r="B606" s="1">
        <v>44510</v>
      </c>
      <c r="C606" s="1">
        <v>44590</v>
      </c>
      <c r="D606" s="1">
        <v>44977</v>
      </c>
      <c r="E606">
        <v>55309.43</v>
      </c>
      <c r="F606">
        <f t="shared" si="28"/>
        <v>2021</v>
      </c>
      <c r="G606">
        <f t="shared" si="29"/>
        <v>2023</v>
      </c>
      <c r="H606">
        <f t="shared" si="27"/>
        <v>2</v>
      </c>
    </row>
    <row r="607" spans="1:8" x14ac:dyDescent="0.25">
      <c r="A607" t="s">
        <v>2581</v>
      </c>
      <c r="B607" s="1">
        <v>45094</v>
      </c>
      <c r="C607" s="1">
        <v>45142</v>
      </c>
      <c r="D607" s="1">
        <v>45210</v>
      </c>
      <c r="E607">
        <v>70667.19</v>
      </c>
      <c r="F607">
        <f t="shared" si="28"/>
        <v>2023</v>
      </c>
      <c r="G607">
        <f t="shared" si="29"/>
        <v>2023</v>
      </c>
      <c r="H607">
        <f t="shared" si="27"/>
        <v>0</v>
      </c>
    </row>
    <row r="608" spans="1:8" x14ac:dyDescent="0.25">
      <c r="A608" t="s">
        <v>2251</v>
      </c>
      <c r="B608" s="1">
        <v>44692</v>
      </c>
      <c r="D608" s="1">
        <v>45274</v>
      </c>
      <c r="E608">
        <v>42434.63</v>
      </c>
      <c r="F608">
        <f t="shared" si="28"/>
        <v>2022</v>
      </c>
      <c r="G608">
        <f t="shared" si="29"/>
        <v>2023</v>
      </c>
      <c r="H608">
        <f t="shared" si="27"/>
        <v>1</v>
      </c>
    </row>
    <row r="609" spans="1:8" x14ac:dyDescent="0.25">
      <c r="A609" t="s">
        <v>2582</v>
      </c>
      <c r="B609" s="1">
        <v>44487</v>
      </c>
      <c r="C609" s="1">
        <v>44528</v>
      </c>
      <c r="D609" s="1">
        <v>44680</v>
      </c>
      <c r="E609">
        <v>11370.47</v>
      </c>
      <c r="F609">
        <f t="shared" si="28"/>
        <v>2021</v>
      </c>
      <c r="G609">
        <f t="shared" si="29"/>
        <v>2022</v>
      </c>
      <c r="H609">
        <f t="shared" si="27"/>
        <v>1</v>
      </c>
    </row>
    <row r="610" spans="1:8" x14ac:dyDescent="0.25">
      <c r="A610" t="s">
        <v>2583</v>
      </c>
      <c r="B610" s="1">
        <v>44988</v>
      </c>
      <c r="C610" s="1">
        <v>44989</v>
      </c>
      <c r="D610" s="1">
        <v>45459</v>
      </c>
      <c r="E610">
        <v>42364.33</v>
      </c>
      <c r="F610">
        <f t="shared" si="28"/>
        <v>2023</v>
      </c>
      <c r="G610">
        <f t="shared" si="29"/>
        <v>2024</v>
      </c>
      <c r="H610">
        <f t="shared" si="27"/>
        <v>1</v>
      </c>
    </row>
    <row r="611" spans="1:8" x14ac:dyDescent="0.25">
      <c r="A611" t="s">
        <v>2584</v>
      </c>
      <c r="B611" s="1">
        <v>44721</v>
      </c>
      <c r="C611" s="1">
        <v>44776</v>
      </c>
      <c r="D611" s="1">
        <v>45375</v>
      </c>
      <c r="E611">
        <v>17637.490000000002</v>
      </c>
      <c r="F611">
        <f t="shared" si="28"/>
        <v>2022</v>
      </c>
      <c r="G611">
        <f t="shared" si="29"/>
        <v>2024</v>
      </c>
      <c r="H611">
        <f t="shared" si="27"/>
        <v>2</v>
      </c>
    </row>
    <row r="612" spans="1:8" x14ac:dyDescent="0.25">
      <c r="A612" t="s">
        <v>2372</v>
      </c>
      <c r="B612" s="1">
        <v>45548</v>
      </c>
      <c r="C612" s="1">
        <v>45557</v>
      </c>
      <c r="D612" s="1">
        <v>45573</v>
      </c>
      <c r="E612">
        <v>38641.72</v>
      </c>
      <c r="F612">
        <f t="shared" si="28"/>
        <v>2024</v>
      </c>
      <c r="G612">
        <f t="shared" si="29"/>
        <v>2024</v>
      </c>
      <c r="H612">
        <f t="shared" si="27"/>
        <v>0</v>
      </c>
    </row>
    <row r="613" spans="1:8" x14ac:dyDescent="0.25">
      <c r="A613" t="s">
        <v>2389</v>
      </c>
      <c r="B613" s="1">
        <v>44214</v>
      </c>
      <c r="C613" s="1">
        <v>44226</v>
      </c>
      <c r="D613" s="1">
        <v>44392</v>
      </c>
      <c r="E613">
        <v>74217.33</v>
      </c>
      <c r="F613">
        <f t="shared" si="28"/>
        <v>2021</v>
      </c>
      <c r="G613">
        <f t="shared" si="29"/>
        <v>2021</v>
      </c>
      <c r="H613">
        <f t="shared" si="27"/>
        <v>0</v>
      </c>
    </row>
    <row r="614" spans="1:8" x14ac:dyDescent="0.25">
      <c r="A614" t="s">
        <v>2422</v>
      </c>
      <c r="B614" s="1">
        <v>44566</v>
      </c>
      <c r="C614" s="1">
        <v>44597</v>
      </c>
      <c r="D614" s="1">
        <v>45000</v>
      </c>
      <c r="E614">
        <v>-15327.78</v>
      </c>
      <c r="F614">
        <f t="shared" si="28"/>
        <v>2022</v>
      </c>
      <c r="G614">
        <f t="shared" si="29"/>
        <v>2023</v>
      </c>
      <c r="H614">
        <f t="shared" si="27"/>
        <v>1</v>
      </c>
    </row>
    <row r="615" spans="1:8" x14ac:dyDescent="0.25">
      <c r="A615" t="s">
        <v>2585</v>
      </c>
      <c r="B615" s="1">
        <v>44802</v>
      </c>
      <c r="C615" s="1">
        <v>44871</v>
      </c>
      <c r="D615" s="1">
        <v>45373</v>
      </c>
      <c r="E615">
        <v>51353.61</v>
      </c>
      <c r="F615">
        <f t="shared" si="28"/>
        <v>2022</v>
      </c>
      <c r="G615">
        <f t="shared" si="29"/>
        <v>2024</v>
      </c>
      <c r="H615">
        <f t="shared" si="27"/>
        <v>2</v>
      </c>
    </row>
    <row r="616" spans="1:8" x14ac:dyDescent="0.25">
      <c r="A616" t="s">
        <v>2397</v>
      </c>
      <c r="B616" s="1">
        <v>44115</v>
      </c>
      <c r="C616" s="1">
        <v>44192</v>
      </c>
      <c r="D616" s="1">
        <v>44363</v>
      </c>
      <c r="E616">
        <v>4809.5200000000004</v>
      </c>
      <c r="F616">
        <f t="shared" si="28"/>
        <v>2020</v>
      </c>
      <c r="G616">
        <f t="shared" si="29"/>
        <v>2021</v>
      </c>
      <c r="H616">
        <f t="shared" si="27"/>
        <v>1</v>
      </c>
    </row>
    <row r="617" spans="1:8" x14ac:dyDescent="0.25">
      <c r="A617" t="s">
        <v>2586</v>
      </c>
      <c r="B617" s="1">
        <v>44422</v>
      </c>
      <c r="C617" s="1">
        <v>44502</v>
      </c>
      <c r="D617" s="1">
        <v>44751</v>
      </c>
      <c r="E617">
        <v>-16336.47</v>
      </c>
      <c r="F617">
        <f t="shared" si="28"/>
        <v>2021</v>
      </c>
      <c r="G617">
        <f t="shared" si="29"/>
        <v>2022</v>
      </c>
      <c r="H617">
        <f t="shared" si="27"/>
        <v>1</v>
      </c>
    </row>
    <row r="618" spans="1:8" x14ac:dyDescent="0.25">
      <c r="A618" t="s">
        <v>2587</v>
      </c>
      <c r="B618" s="1">
        <v>44358</v>
      </c>
      <c r="C618" s="1">
        <v>44445</v>
      </c>
      <c r="D618" s="1">
        <v>44488</v>
      </c>
      <c r="E618">
        <v>13592.53</v>
      </c>
      <c r="F618">
        <f t="shared" si="28"/>
        <v>2021</v>
      </c>
      <c r="G618">
        <f t="shared" si="29"/>
        <v>2021</v>
      </c>
      <c r="H618">
        <f t="shared" si="27"/>
        <v>0</v>
      </c>
    </row>
    <row r="619" spans="1:8" x14ac:dyDescent="0.25">
      <c r="A619" t="s">
        <v>2588</v>
      </c>
      <c r="B619" s="1">
        <v>45078</v>
      </c>
      <c r="C619" s="1">
        <v>45111</v>
      </c>
      <c r="D619" s="1">
        <v>45216</v>
      </c>
      <c r="E619">
        <v>83361.039999999994</v>
      </c>
      <c r="F619">
        <f t="shared" si="28"/>
        <v>2023</v>
      </c>
      <c r="G619">
        <f t="shared" si="29"/>
        <v>2023</v>
      </c>
      <c r="H619">
        <f t="shared" si="27"/>
        <v>0</v>
      </c>
    </row>
    <row r="620" spans="1:8" x14ac:dyDescent="0.25">
      <c r="A620" t="s">
        <v>2346</v>
      </c>
      <c r="B620" s="1">
        <v>44138</v>
      </c>
      <c r="C620" s="1">
        <v>44216</v>
      </c>
      <c r="D620" s="1">
        <v>44336</v>
      </c>
      <c r="E620">
        <v>34552.519999999997</v>
      </c>
      <c r="F620">
        <f t="shared" si="28"/>
        <v>2020</v>
      </c>
      <c r="G620">
        <f t="shared" si="29"/>
        <v>2021</v>
      </c>
      <c r="H620">
        <f t="shared" si="27"/>
        <v>1</v>
      </c>
    </row>
    <row r="621" spans="1:8" x14ac:dyDescent="0.25">
      <c r="A621" t="s">
        <v>2589</v>
      </c>
      <c r="B621" s="1">
        <v>44335</v>
      </c>
      <c r="C621" s="1">
        <v>44411</v>
      </c>
      <c r="D621" s="1">
        <v>44605</v>
      </c>
      <c r="E621">
        <v>39038.18</v>
      </c>
      <c r="F621">
        <f t="shared" si="28"/>
        <v>2021</v>
      </c>
      <c r="G621">
        <f t="shared" si="29"/>
        <v>2022</v>
      </c>
      <c r="H621">
        <f t="shared" si="27"/>
        <v>1</v>
      </c>
    </row>
    <row r="622" spans="1:8" x14ac:dyDescent="0.25">
      <c r="A622" t="s">
        <v>2191</v>
      </c>
      <c r="B622" s="1">
        <v>44009</v>
      </c>
      <c r="C622" s="1">
        <v>44052</v>
      </c>
      <c r="D622" s="1">
        <v>44258</v>
      </c>
      <c r="E622">
        <v>40006.78</v>
      </c>
      <c r="F622">
        <f t="shared" si="28"/>
        <v>2020</v>
      </c>
      <c r="G622">
        <f t="shared" si="29"/>
        <v>2021</v>
      </c>
      <c r="H622">
        <f t="shared" si="27"/>
        <v>1</v>
      </c>
    </row>
    <row r="623" spans="1:8" x14ac:dyDescent="0.25">
      <c r="A623" t="s">
        <v>2590</v>
      </c>
      <c r="B623" s="1">
        <v>44472</v>
      </c>
      <c r="C623" s="1">
        <v>44546</v>
      </c>
      <c r="D623" s="1">
        <v>44924</v>
      </c>
      <c r="E623">
        <v>70379.92</v>
      </c>
      <c r="F623">
        <f t="shared" si="28"/>
        <v>2021</v>
      </c>
      <c r="G623">
        <f t="shared" si="29"/>
        <v>2022</v>
      </c>
      <c r="H623">
        <f t="shared" si="27"/>
        <v>1</v>
      </c>
    </row>
    <row r="624" spans="1:8" x14ac:dyDescent="0.25">
      <c r="A624" t="s">
        <v>2398</v>
      </c>
      <c r="B624" s="1">
        <v>44296</v>
      </c>
      <c r="C624" s="1">
        <v>44313</v>
      </c>
      <c r="D624" s="1">
        <v>44608</v>
      </c>
      <c r="E624">
        <v>-17382.93</v>
      </c>
      <c r="F624">
        <f t="shared" si="28"/>
        <v>2021</v>
      </c>
      <c r="G624">
        <f t="shared" si="29"/>
        <v>2022</v>
      </c>
      <c r="H624">
        <f t="shared" si="27"/>
        <v>1</v>
      </c>
    </row>
    <row r="625" spans="1:8" x14ac:dyDescent="0.25">
      <c r="A625" t="s">
        <v>2553</v>
      </c>
      <c r="B625" s="1">
        <v>44224</v>
      </c>
      <c r="C625" s="1">
        <v>44259</v>
      </c>
      <c r="D625" s="1">
        <v>44456</v>
      </c>
      <c r="E625">
        <v>13742.39</v>
      </c>
      <c r="F625">
        <f t="shared" si="28"/>
        <v>2021</v>
      </c>
      <c r="G625">
        <f t="shared" si="29"/>
        <v>2021</v>
      </c>
      <c r="H625">
        <f t="shared" si="27"/>
        <v>0</v>
      </c>
    </row>
    <row r="626" spans="1:8" x14ac:dyDescent="0.25">
      <c r="A626" t="s">
        <v>2591</v>
      </c>
      <c r="B626" s="1">
        <v>44372</v>
      </c>
      <c r="C626" s="1">
        <v>44408</v>
      </c>
      <c r="D626" s="1">
        <v>44556</v>
      </c>
      <c r="E626">
        <v>-15027.66</v>
      </c>
      <c r="F626">
        <f t="shared" si="28"/>
        <v>2021</v>
      </c>
      <c r="G626">
        <f t="shared" si="29"/>
        <v>2021</v>
      </c>
      <c r="H626">
        <f t="shared" si="27"/>
        <v>0</v>
      </c>
    </row>
    <row r="627" spans="1:8" x14ac:dyDescent="0.25">
      <c r="A627" t="s">
        <v>2592</v>
      </c>
      <c r="B627" s="1">
        <v>44774</v>
      </c>
      <c r="C627" s="1">
        <v>44843</v>
      </c>
      <c r="D627" s="1">
        <v>44992</v>
      </c>
      <c r="E627">
        <v>54698.97</v>
      </c>
      <c r="F627">
        <f t="shared" si="28"/>
        <v>2022</v>
      </c>
      <c r="G627">
        <f t="shared" si="29"/>
        <v>2023</v>
      </c>
      <c r="H627">
        <f t="shared" si="27"/>
        <v>1</v>
      </c>
    </row>
    <row r="628" spans="1:8" x14ac:dyDescent="0.25">
      <c r="A628" t="s">
        <v>2280</v>
      </c>
      <c r="B628" s="1">
        <v>44387</v>
      </c>
      <c r="C628" s="1">
        <v>44414</v>
      </c>
      <c r="D628" s="1">
        <v>44604</v>
      </c>
      <c r="E628">
        <v>2652</v>
      </c>
      <c r="F628">
        <f t="shared" si="28"/>
        <v>2021</v>
      </c>
      <c r="G628">
        <f t="shared" si="29"/>
        <v>2022</v>
      </c>
      <c r="H628">
        <f t="shared" si="27"/>
        <v>1</v>
      </c>
    </row>
    <row r="629" spans="1:8" x14ac:dyDescent="0.25">
      <c r="A629" t="s">
        <v>2462</v>
      </c>
      <c r="B629" s="1">
        <v>45411</v>
      </c>
      <c r="C629" s="1">
        <v>45413</v>
      </c>
      <c r="D629" s="1">
        <v>45712</v>
      </c>
      <c r="E629">
        <v>54187.83</v>
      </c>
      <c r="F629">
        <f t="shared" si="28"/>
        <v>2024</v>
      </c>
      <c r="G629">
        <f t="shared" si="29"/>
        <v>2025</v>
      </c>
      <c r="H629">
        <f t="shared" si="27"/>
        <v>1</v>
      </c>
    </row>
    <row r="630" spans="1:8" x14ac:dyDescent="0.25">
      <c r="A630" t="s">
        <v>2488</v>
      </c>
      <c r="B630" s="1">
        <v>44653</v>
      </c>
      <c r="C630" s="1">
        <v>44704</v>
      </c>
      <c r="D630" s="1">
        <v>44739</v>
      </c>
      <c r="E630">
        <v>27890.19</v>
      </c>
      <c r="F630">
        <f t="shared" si="28"/>
        <v>2022</v>
      </c>
      <c r="G630">
        <f t="shared" si="29"/>
        <v>2022</v>
      </c>
      <c r="H630">
        <f t="shared" si="27"/>
        <v>0</v>
      </c>
    </row>
    <row r="631" spans="1:8" x14ac:dyDescent="0.25">
      <c r="A631" t="s">
        <v>2593</v>
      </c>
      <c r="B631" s="1">
        <v>44362</v>
      </c>
      <c r="C631" s="1">
        <v>44393</v>
      </c>
      <c r="D631" s="1">
        <v>44809</v>
      </c>
      <c r="E631">
        <v>42186.559999999998</v>
      </c>
      <c r="F631">
        <f t="shared" si="28"/>
        <v>2021</v>
      </c>
      <c r="G631">
        <f t="shared" si="29"/>
        <v>2022</v>
      </c>
      <c r="H631">
        <f t="shared" si="27"/>
        <v>1</v>
      </c>
    </row>
    <row r="632" spans="1:8" x14ac:dyDescent="0.25">
      <c r="A632" t="s">
        <v>2594</v>
      </c>
      <c r="B632" s="1">
        <v>44902</v>
      </c>
      <c r="C632" s="1">
        <v>44911</v>
      </c>
      <c r="D632" s="1">
        <v>45165</v>
      </c>
      <c r="E632">
        <v>48824.02</v>
      </c>
      <c r="F632">
        <f t="shared" si="28"/>
        <v>2022</v>
      </c>
      <c r="G632">
        <f t="shared" si="29"/>
        <v>2023</v>
      </c>
      <c r="H632">
        <f t="shared" si="27"/>
        <v>1</v>
      </c>
    </row>
    <row r="633" spans="1:8" x14ac:dyDescent="0.25">
      <c r="A633" t="s">
        <v>2279</v>
      </c>
      <c r="B633" s="1">
        <v>44270</v>
      </c>
      <c r="C633" s="1">
        <v>44347</v>
      </c>
      <c r="D633" s="1">
        <v>44398</v>
      </c>
      <c r="E633">
        <v>-2513.91</v>
      </c>
      <c r="F633">
        <f t="shared" si="28"/>
        <v>2021</v>
      </c>
      <c r="G633">
        <f t="shared" si="29"/>
        <v>2021</v>
      </c>
      <c r="H633">
        <f t="shared" si="27"/>
        <v>0</v>
      </c>
    </row>
    <row r="634" spans="1:8" x14ac:dyDescent="0.25">
      <c r="A634" t="s">
        <v>2272</v>
      </c>
      <c r="B634" s="1">
        <v>45500</v>
      </c>
      <c r="C634" s="1">
        <v>45551</v>
      </c>
      <c r="D634" s="1">
        <v>45655</v>
      </c>
      <c r="E634">
        <v>55084.84</v>
      </c>
      <c r="F634">
        <f t="shared" si="28"/>
        <v>2024</v>
      </c>
      <c r="G634">
        <f t="shared" si="29"/>
        <v>2024</v>
      </c>
      <c r="H634">
        <f t="shared" si="27"/>
        <v>0</v>
      </c>
    </row>
    <row r="635" spans="1:8" x14ac:dyDescent="0.25">
      <c r="A635" t="s">
        <v>2516</v>
      </c>
      <c r="B635" s="1">
        <v>44340</v>
      </c>
      <c r="C635" s="1">
        <v>44376</v>
      </c>
      <c r="D635" s="1">
        <v>44539</v>
      </c>
      <c r="E635">
        <v>-13934.81</v>
      </c>
      <c r="F635">
        <f t="shared" si="28"/>
        <v>2021</v>
      </c>
      <c r="G635">
        <f t="shared" si="29"/>
        <v>2021</v>
      </c>
      <c r="H635">
        <f t="shared" si="27"/>
        <v>0</v>
      </c>
    </row>
    <row r="636" spans="1:8" x14ac:dyDescent="0.25">
      <c r="A636" t="s">
        <v>2595</v>
      </c>
      <c r="B636" s="1">
        <v>45523</v>
      </c>
      <c r="C636" s="1">
        <v>45569</v>
      </c>
      <c r="D636" s="1">
        <v>45703</v>
      </c>
      <c r="E636">
        <v>32730.97</v>
      </c>
      <c r="F636">
        <f t="shared" si="28"/>
        <v>2024</v>
      </c>
      <c r="G636">
        <f t="shared" si="29"/>
        <v>2025</v>
      </c>
      <c r="H636">
        <f t="shared" si="27"/>
        <v>1</v>
      </c>
    </row>
    <row r="637" spans="1:8" x14ac:dyDescent="0.25">
      <c r="A637" t="s">
        <v>2451</v>
      </c>
      <c r="B637" s="1">
        <v>44516</v>
      </c>
      <c r="C637" s="1">
        <v>44553</v>
      </c>
      <c r="D637" s="1">
        <v>44867</v>
      </c>
      <c r="E637">
        <v>12622.98</v>
      </c>
      <c r="F637">
        <f t="shared" si="28"/>
        <v>2021</v>
      </c>
      <c r="G637">
        <f t="shared" si="29"/>
        <v>2022</v>
      </c>
      <c r="H637">
        <f t="shared" si="27"/>
        <v>1</v>
      </c>
    </row>
    <row r="638" spans="1:8" x14ac:dyDescent="0.25">
      <c r="A638" t="s">
        <v>2590</v>
      </c>
      <c r="B638" s="1">
        <v>44472</v>
      </c>
      <c r="C638" s="1">
        <v>44546</v>
      </c>
      <c r="D638" s="1">
        <v>44712</v>
      </c>
      <c r="E638">
        <v>37781.49</v>
      </c>
      <c r="F638">
        <f t="shared" si="28"/>
        <v>2021</v>
      </c>
      <c r="G638">
        <f t="shared" si="29"/>
        <v>2022</v>
      </c>
      <c r="H638">
        <f t="shared" si="27"/>
        <v>1</v>
      </c>
    </row>
    <row r="639" spans="1:8" x14ac:dyDescent="0.25">
      <c r="A639" t="s">
        <v>2596</v>
      </c>
      <c r="B639" s="1">
        <v>44598</v>
      </c>
      <c r="C639" s="1">
        <v>44613</v>
      </c>
      <c r="D639" s="1">
        <v>44728</v>
      </c>
      <c r="E639">
        <v>73451.070000000007</v>
      </c>
      <c r="F639">
        <f t="shared" si="28"/>
        <v>2022</v>
      </c>
      <c r="G639">
        <f t="shared" si="29"/>
        <v>2022</v>
      </c>
      <c r="H639">
        <f t="shared" si="27"/>
        <v>0</v>
      </c>
    </row>
    <row r="640" spans="1:8" x14ac:dyDescent="0.25">
      <c r="A640" t="s">
        <v>2308</v>
      </c>
      <c r="B640" s="1">
        <v>44367</v>
      </c>
      <c r="C640" s="1">
        <v>44450</v>
      </c>
      <c r="D640" s="1">
        <v>44499</v>
      </c>
      <c r="E640">
        <v>67744.87</v>
      </c>
      <c r="F640">
        <f t="shared" si="28"/>
        <v>2021</v>
      </c>
      <c r="G640">
        <f t="shared" si="29"/>
        <v>2021</v>
      </c>
      <c r="H640">
        <f t="shared" si="27"/>
        <v>0</v>
      </c>
    </row>
    <row r="641" spans="1:8" x14ac:dyDescent="0.25">
      <c r="A641" t="s">
        <v>2597</v>
      </c>
      <c r="B641" s="1">
        <v>44294</v>
      </c>
      <c r="C641" s="1">
        <v>44296</v>
      </c>
      <c r="D641" s="1">
        <v>44508</v>
      </c>
      <c r="E641">
        <v>46020.86</v>
      </c>
      <c r="F641">
        <f t="shared" si="28"/>
        <v>2021</v>
      </c>
      <c r="G641">
        <f t="shared" si="29"/>
        <v>2021</v>
      </c>
      <c r="H641">
        <f t="shared" si="27"/>
        <v>0</v>
      </c>
    </row>
    <row r="642" spans="1:8" x14ac:dyDescent="0.25">
      <c r="A642" t="s">
        <v>2598</v>
      </c>
      <c r="B642" s="1">
        <v>43934</v>
      </c>
      <c r="C642" s="1">
        <v>43952</v>
      </c>
      <c r="D642" s="1">
        <v>44059</v>
      </c>
      <c r="E642">
        <v>16384.689999999999</v>
      </c>
      <c r="F642">
        <f t="shared" si="28"/>
        <v>2020</v>
      </c>
      <c r="G642">
        <f t="shared" si="29"/>
        <v>2020</v>
      </c>
      <c r="H642">
        <f t="shared" ref="H642:H705" si="30">MAX(0,G642-F642)</f>
        <v>0</v>
      </c>
    </row>
    <row r="643" spans="1:8" x14ac:dyDescent="0.25">
      <c r="A643" t="s">
        <v>2599</v>
      </c>
      <c r="B643" s="1">
        <v>44310</v>
      </c>
      <c r="C643" s="1">
        <v>44327</v>
      </c>
      <c r="D643" s="1">
        <v>44505</v>
      </c>
      <c r="E643">
        <v>55803.5</v>
      </c>
      <c r="F643">
        <f t="shared" ref="F643:F706" si="31">YEAR(B643)</f>
        <v>2021</v>
      </c>
      <c r="G643">
        <f t="shared" ref="G643:G706" si="32">YEAR(D643)</f>
        <v>2021</v>
      </c>
      <c r="H643">
        <f t="shared" si="30"/>
        <v>0</v>
      </c>
    </row>
    <row r="644" spans="1:8" x14ac:dyDescent="0.25">
      <c r="A644" t="s">
        <v>2430</v>
      </c>
      <c r="B644" s="1">
        <v>44518</v>
      </c>
      <c r="C644" s="1">
        <v>44590</v>
      </c>
      <c r="D644" s="1">
        <v>44767</v>
      </c>
      <c r="E644">
        <v>11157.96</v>
      </c>
      <c r="F644">
        <f t="shared" si="31"/>
        <v>2021</v>
      </c>
      <c r="G644">
        <f t="shared" si="32"/>
        <v>2022</v>
      </c>
      <c r="H644">
        <f t="shared" si="30"/>
        <v>1</v>
      </c>
    </row>
    <row r="645" spans="1:8" x14ac:dyDescent="0.25">
      <c r="A645" t="s">
        <v>2491</v>
      </c>
      <c r="B645" s="1">
        <v>45313</v>
      </c>
      <c r="C645" s="1">
        <v>45335</v>
      </c>
      <c r="D645" s="1">
        <v>45800</v>
      </c>
      <c r="E645">
        <v>46495.32</v>
      </c>
      <c r="F645">
        <f t="shared" si="31"/>
        <v>2024</v>
      </c>
      <c r="G645">
        <f t="shared" si="32"/>
        <v>2025</v>
      </c>
      <c r="H645">
        <f t="shared" si="30"/>
        <v>1</v>
      </c>
    </row>
    <row r="646" spans="1:8" x14ac:dyDescent="0.25">
      <c r="A646" t="s">
        <v>2398</v>
      </c>
      <c r="B646" s="1">
        <v>44296</v>
      </c>
      <c r="C646" s="1">
        <v>44313</v>
      </c>
      <c r="D646" s="1">
        <v>44757</v>
      </c>
      <c r="E646">
        <v>70727.86</v>
      </c>
      <c r="F646">
        <f t="shared" si="31"/>
        <v>2021</v>
      </c>
      <c r="G646">
        <f t="shared" si="32"/>
        <v>2022</v>
      </c>
      <c r="H646">
        <f t="shared" si="30"/>
        <v>1</v>
      </c>
    </row>
    <row r="647" spans="1:8" x14ac:dyDescent="0.25">
      <c r="A647" t="s">
        <v>2430</v>
      </c>
      <c r="B647" s="1">
        <v>44518</v>
      </c>
      <c r="C647" s="1">
        <v>44590</v>
      </c>
      <c r="D647" s="1">
        <v>44722</v>
      </c>
      <c r="E647">
        <v>58168.27</v>
      </c>
      <c r="F647">
        <f t="shared" si="31"/>
        <v>2021</v>
      </c>
      <c r="G647">
        <f t="shared" si="32"/>
        <v>2022</v>
      </c>
      <c r="H647">
        <f t="shared" si="30"/>
        <v>1</v>
      </c>
    </row>
    <row r="648" spans="1:8" x14ac:dyDescent="0.25">
      <c r="A648" t="s">
        <v>2532</v>
      </c>
      <c r="B648" s="1">
        <v>45186</v>
      </c>
      <c r="C648" s="1">
        <v>45209</v>
      </c>
      <c r="D648" s="1">
        <v>45394</v>
      </c>
      <c r="E648">
        <v>-22866.29</v>
      </c>
      <c r="F648">
        <f t="shared" si="31"/>
        <v>2023</v>
      </c>
      <c r="G648">
        <f t="shared" si="32"/>
        <v>2024</v>
      </c>
      <c r="H648">
        <f t="shared" si="30"/>
        <v>1</v>
      </c>
    </row>
    <row r="649" spans="1:8" x14ac:dyDescent="0.25">
      <c r="A649" t="s">
        <v>2306</v>
      </c>
      <c r="B649" s="1">
        <v>45077</v>
      </c>
      <c r="C649" s="1">
        <v>45119</v>
      </c>
      <c r="D649" s="1">
        <v>45214</v>
      </c>
      <c r="E649">
        <v>4507.24</v>
      </c>
      <c r="F649">
        <f t="shared" si="31"/>
        <v>2023</v>
      </c>
      <c r="G649">
        <f t="shared" si="32"/>
        <v>2023</v>
      </c>
      <c r="H649">
        <f t="shared" si="30"/>
        <v>0</v>
      </c>
    </row>
    <row r="650" spans="1:8" x14ac:dyDescent="0.25">
      <c r="A650" t="s">
        <v>2430</v>
      </c>
      <c r="B650" s="1">
        <v>44518</v>
      </c>
      <c r="C650" s="1">
        <v>44590</v>
      </c>
      <c r="D650" s="1">
        <v>44922</v>
      </c>
      <c r="E650">
        <v>69222.929999999993</v>
      </c>
      <c r="F650">
        <f t="shared" si="31"/>
        <v>2021</v>
      </c>
      <c r="G650">
        <f t="shared" si="32"/>
        <v>2022</v>
      </c>
      <c r="H650">
        <f t="shared" si="30"/>
        <v>1</v>
      </c>
    </row>
    <row r="651" spans="1:8" x14ac:dyDescent="0.25">
      <c r="A651" t="s">
        <v>2394</v>
      </c>
      <c r="B651" s="1">
        <v>44739</v>
      </c>
      <c r="C651" s="1">
        <v>44740</v>
      </c>
      <c r="D651" s="1">
        <v>44853</v>
      </c>
      <c r="E651">
        <v>72132.67</v>
      </c>
      <c r="F651">
        <f t="shared" si="31"/>
        <v>2022</v>
      </c>
      <c r="G651">
        <f t="shared" si="32"/>
        <v>2022</v>
      </c>
      <c r="H651">
        <f t="shared" si="30"/>
        <v>0</v>
      </c>
    </row>
    <row r="652" spans="1:8" x14ac:dyDescent="0.25">
      <c r="A652" t="s">
        <v>2600</v>
      </c>
      <c r="B652" s="1">
        <v>45460</v>
      </c>
      <c r="C652" s="1">
        <v>45548</v>
      </c>
      <c r="D652" s="1">
        <v>45720</v>
      </c>
      <c r="E652">
        <v>51223.78</v>
      </c>
      <c r="F652">
        <f t="shared" si="31"/>
        <v>2024</v>
      </c>
      <c r="G652">
        <f t="shared" si="32"/>
        <v>2025</v>
      </c>
      <c r="H652">
        <f t="shared" si="30"/>
        <v>1</v>
      </c>
    </row>
    <row r="653" spans="1:8" x14ac:dyDescent="0.25">
      <c r="A653" t="s">
        <v>2307</v>
      </c>
      <c r="B653" s="1">
        <v>44227</v>
      </c>
      <c r="C653" s="1">
        <v>44278</v>
      </c>
      <c r="D653" s="1">
        <v>44908</v>
      </c>
      <c r="E653">
        <v>67716.039999999994</v>
      </c>
      <c r="F653">
        <f t="shared" si="31"/>
        <v>2021</v>
      </c>
      <c r="G653">
        <f t="shared" si="32"/>
        <v>2022</v>
      </c>
      <c r="H653">
        <f t="shared" si="30"/>
        <v>1</v>
      </c>
    </row>
    <row r="654" spans="1:8" x14ac:dyDescent="0.25">
      <c r="A654" t="s">
        <v>2601</v>
      </c>
      <c r="B654" s="1">
        <v>45598</v>
      </c>
      <c r="C654" s="1">
        <v>45600</v>
      </c>
      <c r="D654" s="1">
        <v>45625</v>
      </c>
      <c r="E654">
        <v>32738.43</v>
      </c>
      <c r="F654">
        <f t="shared" si="31"/>
        <v>2024</v>
      </c>
      <c r="G654">
        <f t="shared" si="32"/>
        <v>2024</v>
      </c>
      <c r="H654">
        <f t="shared" si="30"/>
        <v>0</v>
      </c>
    </row>
    <row r="655" spans="1:8" x14ac:dyDescent="0.25">
      <c r="A655" t="s">
        <v>2215</v>
      </c>
      <c r="B655" s="1">
        <v>44245</v>
      </c>
      <c r="C655" s="1">
        <v>44276</v>
      </c>
      <c r="D655" s="1">
        <v>44443</v>
      </c>
      <c r="E655">
        <v>60929.2</v>
      </c>
      <c r="F655">
        <f t="shared" si="31"/>
        <v>2021</v>
      </c>
      <c r="G655">
        <f t="shared" si="32"/>
        <v>2021</v>
      </c>
      <c r="H655">
        <f t="shared" si="30"/>
        <v>0</v>
      </c>
    </row>
    <row r="656" spans="1:8" x14ac:dyDescent="0.25">
      <c r="A656" t="s">
        <v>2602</v>
      </c>
      <c r="B656" s="1">
        <v>44736</v>
      </c>
      <c r="C656" s="1">
        <v>44793</v>
      </c>
      <c r="D656" s="1">
        <v>45152</v>
      </c>
      <c r="E656">
        <v>44308.1</v>
      </c>
      <c r="F656">
        <f t="shared" si="31"/>
        <v>2022</v>
      </c>
      <c r="G656">
        <f t="shared" si="32"/>
        <v>2023</v>
      </c>
      <c r="H656">
        <f t="shared" si="30"/>
        <v>1</v>
      </c>
    </row>
    <row r="657" spans="1:8" x14ac:dyDescent="0.25">
      <c r="A657" t="s">
        <v>2603</v>
      </c>
      <c r="B657" s="1">
        <v>44233</v>
      </c>
      <c r="C657" s="1">
        <v>44263</v>
      </c>
      <c r="D657" s="1">
        <v>44314</v>
      </c>
      <c r="E657">
        <v>60295.8</v>
      </c>
      <c r="F657">
        <f t="shared" si="31"/>
        <v>2021</v>
      </c>
      <c r="G657">
        <f t="shared" si="32"/>
        <v>2021</v>
      </c>
      <c r="H657">
        <f t="shared" si="30"/>
        <v>0</v>
      </c>
    </row>
    <row r="658" spans="1:8" x14ac:dyDescent="0.25">
      <c r="A658" t="s">
        <v>2417</v>
      </c>
      <c r="B658" s="1">
        <v>44416</v>
      </c>
      <c r="C658" s="1">
        <v>44486</v>
      </c>
      <c r="D658" s="1">
        <v>44690</v>
      </c>
      <c r="E658">
        <v>52394.01</v>
      </c>
      <c r="F658">
        <f t="shared" si="31"/>
        <v>2021</v>
      </c>
      <c r="G658">
        <f t="shared" si="32"/>
        <v>2022</v>
      </c>
      <c r="H658">
        <f t="shared" si="30"/>
        <v>1</v>
      </c>
    </row>
    <row r="659" spans="1:8" x14ac:dyDescent="0.25">
      <c r="A659" t="s">
        <v>2317</v>
      </c>
      <c r="B659" s="1">
        <v>43974</v>
      </c>
      <c r="C659" s="1">
        <v>43999</v>
      </c>
      <c r="D659" s="1">
        <v>44019</v>
      </c>
      <c r="E659">
        <v>83422.559999999998</v>
      </c>
      <c r="F659">
        <f t="shared" si="31"/>
        <v>2020</v>
      </c>
      <c r="G659">
        <f t="shared" si="32"/>
        <v>2020</v>
      </c>
      <c r="H659">
        <f t="shared" si="30"/>
        <v>0</v>
      </c>
    </row>
    <row r="660" spans="1:8" x14ac:dyDescent="0.25">
      <c r="A660" t="s">
        <v>2214</v>
      </c>
      <c r="B660" s="1">
        <v>44908</v>
      </c>
      <c r="C660" s="1">
        <v>44953</v>
      </c>
      <c r="D660" s="1">
        <v>45132</v>
      </c>
      <c r="E660">
        <v>20965.900000000001</v>
      </c>
      <c r="F660">
        <f t="shared" si="31"/>
        <v>2022</v>
      </c>
      <c r="G660">
        <f t="shared" si="32"/>
        <v>2023</v>
      </c>
      <c r="H660">
        <f t="shared" si="30"/>
        <v>1</v>
      </c>
    </row>
    <row r="661" spans="1:8" x14ac:dyDescent="0.25">
      <c r="A661" t="s">
        <v>2336</v>
      </c>
      <c r="B661" s="1">
        <v>45085</v>
      </c>
      <c r="C661" s="1">
        <v>45115</v>
      </c>
      <c r="D661" s="1">
        <v>45288</v>
      </c>
      <c r="E661">
        <v>71148.97</v>
      </c>
      <c r="F661">
        <f t="shared" si="31"/>
        <v>2023</v>
      </c>
      <c r="G661">
        <f t="shared" si="32"/>
        <v>2023</v>
      </c>
      <c r="H661">
        <f t="shared" si="30"/>
        <v>0</v>
      </c>
    </row>
    <row r="662" spans="1:8" x14ac:dyDescent="0.25">
      <c r="A662" t="s">
        <v>2604</v>
      </c>
      <c r="B662" s="1">
        <v>45247</v>
      </c>
      <c r="C662" s="1">
        <v>45263</v>
      </c>
      <c r="D662" s="1">
        <v>45530</v>
      </c>
      <c r="E662">
        <v>52635.82</v>
      </c>
      <c r="F662">
        <f t="shared" si="31"/>
        <v>2023</v>
      </c>
      <c r="G662">
        <f t="shared" si="32"/>
        <v>2024</v>
      </c>
      <c r="H662">
        <f t="shared" si="30"/>
        <v>1</v>
      </c>
    </row>
    <row r="663" spans="1:8" x14ac:dyDescent="0.25">
      <c r="A663" t="s">
        <v>2605</v>
      </c>
      <c r="B663" s="1">
        <v>44655</v>
      </c>
      <c r="C663" s="1">
        <v>44725</v>
      </c>
      <c r="D663" s="1">
        <v>44920</v>
      </c>
      <c r="E663">
        <v>-16273.68</v>
      </c>
      <c r="F663">
        <f t="shared" si="31"/>
        <v>2022</v>
      </c>
      <c r="G663">
        <f t="shared" si="32"/>
        <v>2022</v>
      </c>
      <c r="H663">
        <f t="shared" si="30"/>
        <v>0</v>
      </c>
    </row>
    <row r="664" spans="1:8" x14ac:dyDescent="0.25">
      <c r="A664" t="s">
        <v>2362</v>
      </c>
      <c r="B664" s="1">
        <v>44750</v>
      </c>
      <c r="C664" s="1">
        <v>44791</v>
      </c>
      <c r="D664" s="1">
        <v>45274</v>
      </c>
      <c r="E664">
        <v>20031.95</v>
      </c>
      <c r="F664">
        <f t="shared" si="31"/>
        <v>2022</v>
      </c>
      <c r="G664">
        <f t="shared" si="32"/>
        <v>2023</v>
      </c>
      <c r="H664">
        <f t="shared" si="30"/>
        <v>1</v>
      </c>
    </row>
    <row r="665" spans="1:8" x14ac:dyDescent="0.25">
      <c r="A665" t="s">
        <v>2455</v>
      </c>
      <c r="B665" s="1">
        <v>45348</v>
      </c>
      <c r="C665" s="1">
        <v>45381</v>
      </c>
      <c r="D665" s="1">
        <v>45399</v>
      </c>
      <c r="E665">
        <v>33303.339999999997</v>
      </c>
      <c r="F665">
        <f t="shared" si="31"/>
        <v>2024</v>
      </c>
      <c r="G665">
        <f t="shared" si="32"/>
        <v>2024</v>
      </c>
      <c r="H665">
        <f t="shared" si="30"/>
        <v>0</v>
      </c>
    </row>
    <row r="666" spans="1:8" x14ac:dyDescent="0.25">
      <c r="A666" t="s">
        <v>2254</v>
      </c>
      <c r="B666" s="1">
        <v>44035</v>
      </c>
      <c r="C666" s="1">
        <v>44101</v>
      </c>
      <c r="D666" s="1">
        <v>44368</v>
      </c>
      <c r="E666">
        <v>75890.03</v>
      </c>
      <c r="F666">
        <f t="shared" si="31"/>
        <v>2020</v>
      </c>
      <c r="G666">
        <f t="shared" si="32"/>
        <v>2021</v>
      </c>
      <c r="H666">
        <f t="shared" si="30"/>
        <v>1</v>
      </c>
    </row>
    <row r="667" spans="1:8" x14ac:dyDescent="0.25">
      <c r="A667" t="s">
        <v>2408</v>
      </c>
      <c r="B667" s="1">
        <v>44337</v>
      </c>
      <c r="C667" s="1">
        <v>44373</v>
      </c>
      <c r="D667" s="1">
        <v>44602</v>
      </c>
      <c r="E667">
        <v>3093.75</v>
      </c>
      <c r="F667">
        <f t="shared" si="31"/>
        <v>2021</v>
      </c>
      <c r="G667">
        <f t="shared" si="32"/>
        <v>2022</v>
      </c>
      <c r="H667">
        <f t="shared" si="30"/>
        <v>1</v>
      </c>
    </row>
    <row r="668" spans="1:8" x14ac:dyDescent="0.25">
      <c r="A668" t="s">
        <v>2606</v>
      </c>
      <c r="B668" s="1">
        <v>45628</v>
      </c>
      <c r="C668" s="1">
        <v>45658</v>
      </c>
      <c r="D668" s="1">
        <v>45588</v>
      </c>
      <c r="E668">
        <v>61784.15</v>
      </c>
      <c r="F668">
        <f t="shared" si="31"/>
        <v>2024</v>
      </c>
      <c r="G668">
        <f t="shared" si="32"/>
        <v>2024</v>
      </c>
      <c r="H668">
        <f t="shared" si="30"/>
        <v>0</v>
      </c>
    </row>
    <row r="669" spans="1:8" x14ac:dyDescent="0.25">
      <c r="A669" t="s">
        <v>2531</v>
      </c>
      <c r="B669" s="1">
        <v>44136</v>
      </c>
      <c r="C669" s="1">
        <v>44212</v>
      </c>
      <c r="D669" s="1">
        <v>44544</v>
      </c>
      <c r="E669">
        <v>48524.39</v>
      </c>
      <c r="F669">
        <f t="shared" si="31"/>
        <v>2020</v>
      </c>
      <c r="G669">
        <f t="shared" si="32"/>
        <v>2021</v>
      </c>
      <c r="H669">
        <f t="shared" si="30"/>
        <v>1</v>
      </c>
    </row>
    <row r="670" spans="1:8" x14ac:dyDescent="0.25">
      <c r="A670" t="s">
        <v>2607</v>
      </c>
      <c r="B670" s="1">
        <v>44235</v>
      </c>
      <c r="C670" s="1">
        <v>44260</v>
      </c>
      <c r="D670" s="1">
        <v>44343</v>
      </c>
      <c r="E670">
        <v>80549.649999999994</v>
      </c>
      <c r="F670">
        <f t="shared" si="31"/>
        <v>2021</v>
      </c>
      <c r="G670">
        <f t="shared" si="32"/>
        <v>2021</v>
      </c>
      <c r="H670">
        <f t="shared" si="30"/>
        <v>0</v>
      </c>
    </row>
    <row r="671" spans="1:8" x14ac:dyDescent="0.25">
      <c r="A671" t="s">
        <v>2552</v>
      </c>
      <c r="B671" s="1">
        <v>44797</v>
      </c>
      <c r="C671" s="1">
        <v>44857</v>
      </c>
      <c r="D671" s="1">
        <v>45229</v>
      </c>
      <c r="E671">
        <v>23285.1</v>
      </c>
      <c r="F671">
        <f t="shared" si="31"/>
        <v>2022</v>
      </c>
      <c r="G671">
        <f t="shared" si="32"/>
        <v>2023</v>
      </c>
      <c r="H671">
        <f t="shared" si="30"/>
        <v>1</v>
      </c>
    </row>
    <row r="672" spans="1:8" x14ac:dyDescent="0.25">
      <c r="A672" t="s">
        <v>2155</v>
      </c>
      <c r="B672" s="1">
        <v>45323</v>
      </c>
      <c r="C672" s="1">
        <v>45345</v>
      </c>
      <c r="D672" s="1">
        <v>45454</v>
      </c>
      <c r="E672">
        <v>33190.89</v>
      </c>
      <c r="F672">
        <f t="shared" si="31"/>
        <v>2024</v>
      </c>
      <c r="G672">
        <f t="shared" si="32"/>
        <v>2024</v>
      </c>
      <c r="H672">
        <f t="shared" si="30"/>
        <v>0</v>
      </c>
    </row>
    <row r="673" spans="1:8" x14ac:dyDescent="0.25">
      <c r="A673" t="s">
        <v>2608</v>
      </c>
      <c r="B673" s="1">
        <v>44728</v>
      </c>
      <c r="D673" s="1">
        <v>44918</v>
      </c>
      <c r="E673">
        <v>28138.87</v>
      </c>
      <c r="F673">
        <f t="shared" si="31"/>
        <v>2022</v>
      </c>
      <c r="G673">
        <f t="shared" si="32"/>
        <v>2022</v>
      </c>
      <c r="H673">
        <f t="shared" si="30"/>
        <v>0</v>
      </c>
    </row>
    <row r="674" spans="1:8" x14ac:dyDescent="0.25">
      <c r="A674" t="s">
        <v>2426</v>
      </c>
      <c r="B674" s="1">
        <v>44773</v>
      </c>
      <c r="C674" s="1">
        <v>44790</v>
      </c>
      <c r="D674" s="1">
        <v>44981</v>
      </c>
      <c r="E674">
        <v>-13367.05</v>
      </c>
      <c r="F674">
        <f t="shared" si="31"/>
        <v>2022</v>
      </c>
      <c r="G674">
        <f t="shared" si="32"/>
        <v>2023</v>
      </c>
      <c r="H674">
        <f t="shared" si="30"/>
        <v>1</v>
      </c>
    </row>
    <row r="675" spans="1:8" x14ac:dyDescent="0.25">
      <c r="A675" t="s">
        <v>2312</v>
      </c>
      <c r="B675" s="1">
        <v>45413</v>
      </c>
      <c r="C675" s="1">
        <v>45446</v>
      </c>
      <c r="D675" s="1">
        <v>45691</v>
      </c>
      <c r="E675">
        <v>47945.46</v>
      </c>
      <c r="F675">
        <f t="shared" si="31"/>
        <v>2024</v>
      </c>
      <c r="G675">
        <f t="shared" si="32"/>
        <v>2025</v>
      </c>
      <c r="H675">
        <f t="shared" si="30"/>
        <v>1</v>
      </c>
    </row>
    <row r="676" spans="1:8" x14ac:dyDescent="0.25">
      <c r="A676" t="s">
        <v>2189</v>
      </c>
      <c r="B676" s="1">
        <v>44823</v>
      </c>
      <c r="C676" s="1">
        <v>44909</v>
      </c>
      <c r="D676" s="1">
        <v>45197</v>
      </c>
      <c r="E676">
        <v>80039.87</v>
      </c>
      <c r="F676">
        <f t="shared" si="31"/>
        <v>2022</v>
      </c>
      <c r="G676">
        <f t="shared" si="32"/>
        <v>2023</v>
      </c>
      <c r="H676">
        <f t="shared" si="30"/>
        <v>1</v>
      </c>
    </row>
    <row r="677" spans="1:8" x14ac:dyDescent="0.25">
      <c r="A677" t="s">
        <v>2339</v>
      </c>
      <c r="B677" s="1">
        <v>44241</v>
      </c>
      <c r="C677" s="1">
        <v>44272</v>
      </c>
      <c r="D677" s="1">
        <v>44561</v>
      </c>
      <c r="E677">
        <v>62813.31</v>
      </c>
      <c r="F677">
        <f t="shared" si="31"/>
        <v>2021</v>
      </c>
      <c r="G677">
        <f t="shared" si="32"/>
        <v>2021</v>
      </c>
      <c r="H677">
        <f t="shared" si="30"/>
        <v>0</v>
      </c>
    </row>
    <row r="678" spans="1:8" x14ac:dyDescent="0.25">
      <c r="A678" t="s">
        <v>2264</v>
      </c>
      <c r="B678" s="1">
        <v>44792</v>
      </c>
      <c r="C678" s="1">
        <v>44812</v>
      </c>
      <c r="D678" s="1">
        <v>45354</v>
      </c>
      <c r="E678">
        <v>-2187.12</v>
      </c>
      <c r="F678">
        <f t="shared" si="31"/>
        <v>2022</v>
      </c>
      <c r="G678">
        <f t="shared" si="32"/>
        <v>2024</v>
      </c>
      <c r="H678">
        <f t="shared" si="30"/>
        <v>2</v>
      </c>
    </row>
    <row r="679" spans="1:8" x14ac:dyDescent="0.25">
      <c r="A679" t="s">
        <v>2609</v>
      </c>
      <c r="B679" s="1">
        <v>43933</v>
      </c>
      <c r="C679" s="1">
        <v>44002</v>
      </c>
      <c r="D679" s="1">
        <v>44101</v>
      </c>
      <c r="E679">
        <v>27235.93</v>
      </c>
      <c r="F679">
        <f t="shared" si="31"/>
        <v>2020</v>
      </c>
      <c r="G679">
        <f t="shared" si="32"/>
        <v>2020</v>
      </c>
      <c r="H679">
        <f t="shared" si="30"/>
        <v>0</v>
      </c>
    </row>
    <row r="680" spans="1:8" x14ac:dyDescent="0.25">
      <c r="A680" t="s">
        <v>2528</v>
      </c>
      <c r="B680" s="1">
        <v>44741</v>
      </c>
      <c r="C680" s="1">
        <v>44774</v>
      </c>
      <c r="D680" s="1">
        <v>45006</v>
      </c>
      <c r="E680">
        <v>27993.35</v>
      </c>
      <c r="F680">
        <f t="shared" si="31"/>
        <v>2022</v>
      </c>
      <c r="G680">
        <f t="shared" si="32"/>
        <v>2023</v>
      </c>
      <c r="H680">
        <f t="shared" si="30"/>
        <v>1</v>
      </c>
    </row>
    <row r="681" spans="1:8" x14ac:dyDescent="0.25">
      <c r="A681" t="s">
        <v>2610</v>
      </c>
      <c r="B681" s="1">
        <v>45358</v>
      </c>
      <c r="C681" s="1">
        <v>45369</v>
      </c>
      <c r="D681" s="1">
        <v>45725</v>
      </c>
      <c r="E681">
        <v>-7645.93</v>
      </c>
      <c r="F681">
        <f t="shared" si="31"/>
        <v>2024</v>
      </c>
      <c r="G681">
        <f t="shared" si="32"/>
        <v>2025</v>
      </c>
      <c r="H681">
        <f t="shared" si="30"/>
        <v>1</v>
      </c>
    </row>
    <row r="682" spans="1:8" x14ac:dyDescent="0.25">
      <c r="A682" t="s">
        <v>2286</v>
      </c>
      <c r="B682" s="1">
        <v>45110</v>
      </c>
      <c r="C682" s="1">
        <v>45118</v>
      </c>
      <c r="D682" s="1">
        <v>45381</v>
      </c>
      <c r="E682">
        <v>75377.33</v>
      </c>
      <c r="F682">
        <f t="shared" si="31"/>
        <v>2023</v>
      </c>
      <c r="G682">
        <f t="shared" si="32"/>
        <v>2024</v>
      </c>
      <c r="H682">
        <f t="shared" si="30"/>
        <v>1</v>
      </c>
    </row>
    <row r="683" spans="1:8" x14ac:dyDescent="0.25">
      <c r="A683" t="s">
        <v>2337</v>
      </c>
      <c r="B683" s="1">
        <v>45203</v>
      </c>
      <c r="C683" s="1">
        <v>45223</v>
      </c>
      <c r="D683" s="1">
        <v>45532</v>
      </c>
      <c r="E683">
        <v>30859.21</v>
      </c>
      <c r="F683">
        <f t="shared" si="31"/>
        <v>2023</v>
      </c>
      <c r="G683">
        <f t="shared" si="32"/>
        <v>2024</v>
      </c>
      <c r="H683">
        <f t="shared" si="30"/>
        <v>1</v>
      </c>
    </row>
    <row r="684" spans="1:8" x14ac:dyDescent="0.25">
      <c r="A684" t="s">
        <v>2576</v>
      </c>
      <c r="B684" s="1">
        <v>45595</v>
      </c>
      <c r="C684" s="1">
        <v>45619</v>
      </c>
      <c r="D684" s="1">
        <v>45793</v>
      </c>
      <c r="E684">
        <v>38152.089999999997</v>
      </c>
      <c r="F684">
        <f t="shared" si="31"/>
        <v>2024</v>
      </c>
      <c r="G684">
        <f t="shared" si="32"/>
        <v>2025</v>
      </c>
      <c r="H684">
        <f t="shared" si="30"/>
        <v>1</v>
      </c>
    </row>
    <row r="685" spans="1:8" x14ac:dyDescent="0.25">
      <c r="A685" t="s">
        <v>2590</v>
      </c>
      <c r="B685" s="1">
        <v>44472</v>
      </c>
      <c r="C685" s="1">
        <v>44546</v>
      </c>
      <c r="D685" s="1">
        <v>44784</v>
      </c>
      <c r="E685">
        <v>32544.15</v>
      </c>
      <c r="F685">
        <f t="shared" si="31"/>
        <v>2021</v>
      </c>
      <c r="G685">
        <f t="shared" si="32"/>
        <v>2022</v>
      </c>
      <c r="H685">
        <f t="shared" si="30"/>
        <v>1</v>
      </c>
    </row>
    <row r="686" spans="1:8" x14ac:dyDescent="0.25">
      <c r="A686" t="s">
        <v>2259</v>
      </c>
      <c r="B686" s="1">
        <v>45320</v>
      </c>
      <c r="C686" s="1">
        <v>45349</v>
      </c>
      <c r="D686" s="1">
        <v>45411</v>
      </c>
      <c r="E686">
        <v>55232.62</v>
      </c>
      <c r="F686">
        <f t="shared" si="31"/>
        <v>2024</v>
      </c>
      <c r="G686">
        <f t="shared" si="32"/>
        <v>2024</v>
      </c>
      <c r="H686">
        <f t="shared" si="30"/>
        <v>0</v>
      </c>
    </row>
    <row r="687" spans="1:8" x14ac:dyDescent="0.25">
      <c r="A687" t="s">
        <v>2611</v>
      </c>
      <c r="B687" s="1">
        <v>44490</v>
      </c>
      <c r="C687" s="1">
        <v>44566</v>
      </c>
      <c r="D687" s="1">
        <v>44692</v>
      </c>
      <c r="E687">
        <v>80501.5</v>
      </c>
      <c r="F687">
        <f t="shared" si="31"/>
        <v>2021</v>
      </c>
      <c r="G687">
        <f t="shared" si="32"/>
        <v>2022</v>
      </c>
      <c r="H687">
        <f t="shared" si="30"/>
        <v>1</v>
      </c>
    </row>
    <row r="688" spans="1:8" x14ac:dyDescent="0.25">
      <c r="A688" t="s">
        <v>2243</v>
      </c>
      <c r="B688" s="1">
        <v>44141</v>
      </c>
      <c r="C688" s="1">
        <v>44207</v>
      </c>
      <c r="D688" s="1">
        <v>44380</v>
      </c>
      <c r="E688">
        <v>72844.73</v>
      </c>
      <c r="F688">
        <f t="shared" si="31"/>
        <v>2020</v>
      </c>
      <c r="G688">
        <f t="shared" si="32"/>
        <v>2021</v>
      </c>
      <c r="H688">
        <f t="shared" si="30"/>
        <v>1</v>
      </c>
    </row>
    <row r="689" spans="1:8" x14ac:dyDescent="0.25">
      <c r="A689" t="s">
        <v>2564</v>
      </c>
      <c r="B689" s="1">
        <v>44585</v>
      </c>
      <c r="C689" s="1">
        <v>44623</v>
      </c>
      <c r="D689" s="1">
        <v>44821</v>
      </c>
      <c r="E689">
        <v>14499.85</v>
      </c>
      <c r="F689">
        <f t="shared" si="31"/>
        <v>2022</v>
      </c>
      <c r="G689">
        <f t="shared" si="32"/>
        <v>2022</v>
      </c>
      <c r="H689">
        <f t="shared" si="30"/>
        <v>0</v>
      </c>
    </row>
    <row r="690" spans="1:8" x14ac:dyDescent="0.25">
      <c r="A690" t="s">
        <v>2296</v>
      </c>
      <c r="B690" s="1">
        <v>45016</v>
      </c>
      <c r="C690" s="1">
        <v>45049</v>
      </c>
      <c r="D690" s="1">
        <v>45395</v>
      </c>
      <c r="E690">
        <v>83151.649999999994</v>
      </c>
      <c r="F690">
        <f t="shared" si="31"/>
        <v>2023</v>
      </c>
      <c r="G690">
        <f t="shared" si="32"/>
        <v>2024</v>
      </c>
      <c r="H690">
        <f t="shared" si="30"/>
        <v>1</v>
      </c>
    </row>
    <row r="691" spans="1:8" x14ac:dyDescent="0.25">
      <c r="A691" t="s">
        <v>2612</v>
      </c>
      <c r="B691" s="1">
        <v>45392</v>
      </c>
      <c r="C691" s="1">
        <v>45462</v>
      </c>
      <c r="D691" s="1">
        <v>45793</v>
      </c>
      <c r="E691">
        <v>77787.39</v>
      </c>
      <c r="F691">
        <f t="shared" si="31"/>
        <v>2024</v>
      </c>
      <c r="G691">
        <f t="shared" si="32"/>
        <v>2025</v>
      </c>
      <c r="H691">
        <f t="shared" si="30"/>
        <v>1</v>
      </c>
    </row>
    <row r="692" spans="1:8" x14ac:dyDescent="0.25">
      <c r="A692" t="s">
        <v>2514</v>
      </c>
      <c r="B692" s="1">
        <v>44028</v>
      </c>
      <c r="C692" s="1">
        <v>44071</v>
      </c>
      <c r="D692" s="1">
        <v>44189</v>
      </c>
      <c r="E692">
        <v>74600.77</v>
      </c>
      <c r="F692">
        <f t="shared" si="31"/>
        <v>2020</v>
      </c>
      <c r="G692">
        <f t="shared" si="32"/>
        <v>2020</v>
      </c>
      <c r="H692">
        <f t="shared" si="30"/>
        <v>0</v>
      </c>
    </row>
    <row r="693" spans="1:8" x14ac:dyDescent="0.25">
      <c r="A693" t="s">
        <v>2449</v>
      </c>
      <c r="B693" s="1">
        <v>44705</v>
      </c>
      <c r="C693" s="1">
        <v>44745</v>
      </c>
      <c r="D693" s="1">
        <v>44989</v>
      </c>
      <c r="E693">
        <v>73043.66</v>
      </c>
      <c r="F693">
        <f t="shared" si="31"/>
        <v>2022</v>
      </c>
      <c r="G693">
        <f t="shared" si="32"/>
        <v>2023</v>
      </c>
      <c r="H693">
        <f t="shared" si="30"/>
        <v>1</v>
      </c>
    </row>
    <row r="694" spans="1:8" x14ac:dyDescent="0.25">
      <c r="A694" t="s">
        <v>2185</v>
      </c>
      <c r="B694" s="1">
        <v>45421</v>
      </c>
      <c r="C694" s="1">
        <v>45459</v>
      </c>
      <c r="D694" s="1">
        <v>45559</v>
      </c>
      <c r="E694">
        <v>18396.39</v>
      </c>
      <c r="F694">
        <f t="shared" si="31"/>
        <v>2024</v>
      </c>
      <c r="G694">
        <f t="shared" si="32"/>
        <v>2024</v>
      </c>
      <c r="H694">
        <f t="shared" si="30"/>
        <v>0</v>
      </c>
    </row>
    <row r="695" spans="1:8" x14ac:dyDescent="0.25">
      <c r="A695" t="s">
        <v>2559</v>
      </c>
      <c r="B695" s="1">
        <v>44469</v>
      </c>
      <c r="C695" s="1">
        <v>44536</v>
      </c>
      <c r="D695" s="1">
        <v>44648</v>
      </c>
      <c r="E695">
        <v>-12217.57</v>
      </c>
      <c r="F695">
        <f t="shared" si="31"/>
        <v>2021</v>
      </c>
      <c r="G695">
        <f t="shared" si="32"/>
        <v>2022</v>
      </c>
      <c r="H695">
        <f t="shared" si="30"/>
        <v>1</v>
      </c>
    </row>
    <row r="696" spans="1:8" x14ac:dyDescent="0.25">
      <c r="A696" t="s">
        <v>2257</v>
      </c>
      <c r="B696" s="1">
        <v>44744</v>
      </c>
      <c r="C696" s="1">
        <v>44781</v>
      </c>
      <c r="D696" s="1">
        <v>45204</v>
      </c>
      <c r="E696">
        <v>53679.839999999997</v>
      </c>
      <c r="F696">
        <f t="shared" si="31"/>
        <v>2022</v>
      </c>
      <c r="G696">
        <f t="shared" si="32"/>
        <v>2023</v>
      </c>
      <c r="H696">
        <f t="shared" si="30"/>
        <v>1</v>
      </c>
    </row>
    <row r="697" spans="1:8" x14ac:dyDescent="0.25">
      <c r="A697" t="s">
        <v>2530</v>
      </c>
      <c r="B697" s="1">
        <v>45540</v>
      </c>
      <c r="C697" s="1">
        <v>45597</v>
      </c>
      <c r="D697" s="1">
        <v>45720</v>
      </c>
      <c r="E697">
        <v>71084.42</v>
      </c>
      <c r="F697">
        <f t="shared" si="31"/>
        <v>2024</v>
      </c>
      <c r="G697">
        <f t="shared" si="32"/>
        <v>2025</v>
      </c>
      <c r="H697">
        <f t="shared" si="30"/>
        <v>1</v>
      </c>
    </row>
    <row r="698" spans="1:8" x14ac:dyDescent="0.25">
      <c r="A698" t="s">
        <v>2613</v>
      </c>
      <c r="B698" s="1">
        <v>45073</v>
      </c>
      <c r="C698" s="1">
        <v>45154</v>
      </c>
      <c r="D698" s="1">
        <v>45556</v>
      </c>
      <c r="E698">
        <v>4677.41</v>
      </c>
      <c r="F698">
        <f t="shared" si="31"/>
        <v>2023</v>
      </c>
      <c r="G698">
        <f t="shared" si="32"/>
        <v>2024</v>
      </c>
      <c r="H698">
        <f t="shared" si="30"/>
        <v>1</v>
      </c>
    </row>
    <row r="699" spans="1:8" x14ac:dyDescent="0.25">
      <c r="A699" t="s">
        <v>2614</v>
      </c>
      <c r="B699" s="1">
        <v>44851</v>
      </c>
      <c r="C699" s="1">
        <v>44911</v>
      </c>
      <c r="D699" s="1">
        <v>45055</v>
      </c>
      <c r="E699">
        <v>11560.5</v>
      </c>
      <c r="F699">
        <f t="shared" si="31"/>
        <v>2022</v>
      </c>
      <c r="G699">
        <f t="shared" si="32"/>
        <v>2023</v>
      </c>
      <c r="H699">
        <f t="shared" si="30"/>
        <v>1</v>
      </c>
    </row>
    <row r="700" spans="1:8" x14ac:dyDescent="0.25">
      <c r="A700" t="s">
        <v>2231</v>
      </c>
      <c r="B700" s="1">
        <v>44420</v>
      </c>
      <c r="C700" s="1">
        <v>44441</v>
      </c>
      <c r="D700" s="1">
        <v>44593</v>
      </c>
      <c r="E700">
        <v>72262.81</v>
      </c>
      <c r="F700">
        <f t="shared" si="31"/>
        <v>2021</v>
      </c>
      <c r="G700">
        <f t="shared" si="32"/>
        <v>2022</v>
      </c>
      <c r="H700">
        <f t="shared" si="30"/>
        <v>1</v>
      </c>
    </row>
    <row r="701" spans="1:8" x14ac:dyDescent="0.25">
      <c r="A701" t="s">
        <v>2615</v>
      </c>
      <c r="B701" s="1">
        <v>45323</v>
      </c>
      <c r="C701" s="1">
        <v>45336</v>
      </c>
      <c r="D701" s="1">
        <v>45443</v>
      </c>
      <c r="E701">
        <v>30278.65</v>
      </c>
      <c r="F701">
        <f t="shared" si="31"/>
        <v>2024</v>
      </c>
      <c r="G701">
        <f t="shared" si="32"/>
        <v>2024</v>
      </c>
      <c r="H701">
        <f t="shared" si="30"/>
        <v>0</v>
      </c>
    </row>
    <row r="702" spans="1:8" x14ac:dyDescent="0.25">
      <c r="A702" t="s">
        <v>2616</v>
      </c>
      <c r="B702" s="1">
        <v>44334</v>
      </c>
      <c r="C702" s="1">
        <v>44350</v>
      </c>
      <c r="D702" s="1">
        <v>44503</v>
      </c>
      <c r="E702">
        <v>71328.740000000005</v>
      </c>
      <c r="F702">
        <f t="shared" si="31"/>
        <v>2021</v>
      </c>
      <c r="G702">
        <f t="shared" si="32"/>
        <v>2021</v>
      </c>
      <c r="H702">
        <f t="shared" si="30"/>
        <v>0</v>
      </c>
    </row>
    <row r="703" spans="1:8" x14ac:dyDescent="0.25">
      <c r="A703" t="s">
        <v>2617</v>
      </c>
      <c r="B703" s="1">
        <v>45311</v>
      </c>
      <c r="C703" s="1">
        <v>45317</v>
      </c>
      <c r="D703" s="1">
        <v>45510</v>
      </c>
      <c r="E703">
        <v>57275.5</v>
      </c>
      <c r="F703">
        <f t="shared" si="31"/>
        <v>2024</v>
      </c>
      <c r="G703">
        <f t="shared" si="32"/>
        <v>2024</v>
      </c>
      <c r="H703">
        <f t="shared" si="30"/>
        <v>0</v>
      </c>
    </row>
    <row r="704" spans="1:8" x14ac:dyDescent="0.25">
      <c r="A704" t="s">
        <v>2618</v>
      </c>
      <c r="B704" s="1">
        <v>44564</v>
      </c>
      <c r="C704" s="1">
        <v>44616</v>
      </c>
      <c r="D704" s="1">
        <v>45282</v>
      </c>
      <c r="E704">
        <v>77607.850000000006</v>
      </c>
      <c r="F704">
        <f t="shared" si="31"/>
        <v>2022</v>
      </c>
      <c r="G704">
        <f t="shared" si="32"/>
        <v>2023</v>
      </c>
      <c r="H704">
        <f t="shared" si="30"/>
        <v>1</v>
      </c>
    </row>
    <row r="705" spans="1:8" x14ac:dyDescent="0.25">
      <c r="A705" t="s">
        <v>2619</v>
      </c>
      <c r="B705" s="1">
        <v>45037</v>
      </c>
      <c r="C705" s="1">
        <v>45103</v>
      </c>
      <c r="D705" s="1">
        <v>45509</v>
      </c>
      <c r="E705">
        <v>17010.060000000001</v>
      </c>
      <c r="F705">
        <f t="shared" si="31"/>
        <v>2023</v>
      </c>
      <c r="G705">
        <f t="shared" si="32"/>
        <v>2024</v>
      </c>
      <c r="H705">
        <f t="shared" si="30"/>
        <v>1</v>
      </c>
    </row>
    <row r="706" spans="1:8" x14ac:dyDescent="0.25">
      <c r="A706" t="s">
        <v>2541</v>
      </c>
      <c r="B706" s="1">
        <v>44890</v>
      </c>
      <c r="C706" s="1">
        <v>44904</v>
      </c>
      <c r="D706" s="1">
        <v>45259</v>
      </c>
      <c r="E706">
        <v>33135.29</v>
      </c>
      <c r="F706">
        <f t="shared" si="31"/>
        <v>2022</v>
      </c>
      <c r="G706">
        <f t="shared" si="32"/>
        <v>2023</v>
      </c>
      <c r="H706">
        <f t="shared" ref="H706:H769" si="33">MAX(0,G706-F706)</f>
        <v>1</v>
      </c>
    </row>
    <row r="707" spans="1:8" x14ac:dyDescent="0.25">
      <c r="A707" t="s">
        <v>2338</v>
      </c>
      <c r="B707" s="1">
        <v>44438</v>
      </c>
      <c r="C707" s="1">
        <v>44509</v>
      </c>
      <c r="D707" s="1">
        <v>44937</v>
      </c>
      <c r="E707">
        <v>39220.339999999997</v>
      </c>
      <c r="F707">
        <f t="shared" ref="F707:F770" si="34">YEAR(B707)</f>
        <v>2021</v>
      </c>
      <c r="G707">
        <f t="shared" ref="G707:G770" si="35">YEAR(D707)</f>
        <v>2023</v>
      </c>
      <c r="H707">
        <f t="shared" si="33"/>
        <v>2</v>
      </c>
    </row>
    <row r="708" spans="1:8" x14ac:dyDescent="0.25">
      <c r="A708" t="s">
        <v>2496</v>
      </c>
      <c r="B708" s="1">
        <v>44687</v>
      </c>
      <c r="C708" s="1">
        <v>44738</v>
      </c>
      <c r="D708" s="1">
        <v>44793</v>
      </c>
      <c r="E708">
        <v>58535.43</v>
      </c>
      <c r="F708">
        <f t="shared" si="34"/>
        <v>2022</v>
      </c>
      <c r="G708">
        <f t="shared" si="35"/>
        <v>2022</v>
      </c>
      <c r="H708">
        <f t="shared" si="33"/>
        <v>0</v>
      </c>
    </row>
    <row r="709" spans="1:8" x14ac:dyDescent="0.25">
      <c r="A709" t="s">
        <v>2620</v>
      </c>
      <c r="B709" s="1">
        <v>45297</v>
      </c>
      <c r="C709" s="1">
        <v>45383</v>
      </c>
      <c r="D709" s="1">
        <v>45476</v>
      </c>
      <c r="E709">
        <v>2516.9</v>
      </c>
      <c r="F709">
        <f t="shared" si="34"/>
        <v>2024</v>
      </c>
      <c r="G709">
        <f t="shared" si="35"/>
        <v>2024</v>
      </c>
      <c r="H709">
        <f t="shared" si="33"/>
        <v>0</v>
      </c>
    </row>
    <row r="710" spans="1:8" x14ac:dyDescent="0.25">
      <c r="A710" t="s">
        <v>2621</v>
      </c>
      <c r="B710" s="1">
        <v>44981</v>
      </c>
      <c r="C710" s="1">
        <v>45067</v>
      </c>
      <c r="D710" s="1">
        <v>45197</v>
      </c>
      <c r="E710">
        <v>16771.259999999998</v>
      </c>
      <c r="F710">
        <f t="shared" si="34"/>
        <v>2023</v>
      </c>
      <c r="G710">
        <f t="shared" si="35"/>
        <v>2023</v>
      </c>
      <c r="H710">
        <f t="shared" si="33"/>
        <v>0</v>
      </c>
    </row>
    <row r="711" spans="1:8" x14ac:dyDescent="0.25">
      <c r="A711" t="s">
        <v>2287</v>
      </c>
      <c r="B711" s="1">
        <v>43941</v>
      </c>
      <c r="C711" s="1">
        <v>43976</v>
      </c>
      <c r="D711" s="1">
        <v>44134</v>
      </c>
      <c r="E711">
        <v>77870.25</v>
      </c>
      <c r="F711">
        <f t="shared" si="34"/>
        <v>2020</v>
      </c>
      <c r="G711">
        <f t="shared" si="35"/>
        <v>2020</v>
      </c>
      <c r="H711">
        <f t="shared" si="33"/>
        <v>0</v>
      </c>
    </row>
    <row r="712" spans="1:8" x14ac:dyDescent="0.25">
      <c r="A712" t="s">
        <v>2622</v>
      </c>
      <c r="B712" s="1">
        <v>43922</v>
      </c>
      <c r="C712" s="1">
        <v>43992</v>
      </c>
      <c r="D712" s="1">
        <v>44083</v>
      </c>
      <c r="E712">
        <v>80189.5</v>
      </c>
      <c r="F712">
        <f t="shared" si="34"/>
        <v>2020</v>
      </c>
      <c r="G712">
        <f t="shared" si="35"/>
        <v>2020</v>
      </c>
      <c r="H712">
        <f t="shared" si="33"/>
        <v>0</v>
      </c>
    </row>
    <row r="713" spans="1:8" x14ac:dyDescent="0.25">
      <c r="A713" t="s">
        <v>2545</v>
      </c>
      <c r="B713" s="1">
        <v>45521</v>
      </c>
      <c r="C713" s="1">
        <v>45542</v>
      </c>
      <c r="D713" s="1">
        <v>45773</v>
      </c>
      <c r="E713">
        <v>42243.41</v>
      </c>
      <c r="F713">
        <f t="shared" si="34"/>
        <v>2024</v>
      </c>
      <c r="G713">
        <f t="shared" si="35"/>
        <v>2025</v>
      </c>
      <c r="H713">
        <f t="shared" si="33"/>
        <v>1</v>
      </c>
    </row>
    <row r="714" spans="1:8" x14ac:dyDescent="0.25">
      <c r="A714" t="s">
        <v>2603</v>
      </c>
      <c r="B714" s="1">
        <v>44233</v>
      </c>
      <c r="C714" s="1">
        <v>44263</v>
      </c>
      <c r="D714" s="1">
        <v>44335</v>
      </c>
      <c r="E714">
        <v>-7989.65</v>
      </c>
      <c r="F714">
        <f t="shared" si="34"/>
        <v>2021</v>
      </c>
      <c r="G714">
        <f t="shared" si="35"/>
        <v>2021</v>
      </c>
      <c r="H714">
        <f t="shared" si="33"/>
        <v>0</v>
      </c>
    </row>
    <row r="715" spans="1:8" x14ac:dyDescent="0.25">
      <c r="A715" t="s">
        <v>2623</v>
      </c>
      <c r="B715" s="1">
        <v>45051</v>
      </c>
      <c r="C715" s="1">
        <v>45137</v>
      </c>
      <c r="D715" s="1">
        <v>45400</v>
      </c>
      <c r="E715">
        <v>84303.22</v>
      </c>
      <c r="F715">
        <f t="shared" si="34"/>
        <v>2023</v>
      </c>
      <c r="G715">
        <f t="shared" si="35"/>
        <v>2024</v>
      </c>
      <c r="H715">
        <f t="shared" si="33"/>
        <v>1</v>
      </c>
    </row>
    <row r="716" spans="1:8" x14ac:dyDescent="0.25">
      <c r="A716" t="s">
        <v>2619</v>
      </c>
      <c r="B716" s="1">
        <v>45037</v>
      </c>
      <c r="C716" s="1">
        <v>45103</v>
      </c>
      <c r="D716" s="1">
        <v>45571</v>
      </c>
      <c r="E716">
        <v>70479.62</v>
      </c>
      <c r="F716">
        <f t="shared" si="34"/>
        <v>2023</v>
      </c>
      <c r="G716">
        <f t="shared" si="35"/>
        <v>2024</v>
      </c>
      <c r="H716">
        <f t="shared" si="33"/>
        <v>1</v>
      </c>
    </row>
    <row r="717" spans="1:8" x14ac:dyDescent="0.25">
      <c r="A717" t="s">
        <v>2335</v>
      </c>
      <c r="B717" s="1">
        <v>45099</v>
      </c>
      <c r="C717" s="1">
        <v>45126</v>
      </c>
      <c r="D717" s="1">
        <v>45295</v>
      </c>
      <c r="E717">
        <v>25421.919999999998</v>
      </c>
      <c r="F717">
        <f t="shared" si="34"/>
        <v>2023</v>
      </c>
      <c r="G717">
        <f t="shared" si="35"/>
        <v>2024</v>
      </c>
      <c r="H717">
        <f t="shared" si="33"/>
        <v>1</v>
      </c>
    </row>
    <row r="718" spans="1:8" x14ac:dyDescent="0.25">
      <c r="A718" t="s">
        <v>2350</v>
      </c>
      <c r="B718" s="1">
        <v>44097</v>
      </c>
      <c r="C718" s="1">
        <v>44179</v>
      </c>
      <c r="D718" s="1">
        <v>44476</v>
      </c>
      <c r="E718">
        <v>84422.36</v>
      </c>
      <c r="F718">
        <f t="shared" si="34"/>
        <v>2020</v>
      </c>
      <c r="G718">
        <f t="shared" si="35"/>
        <v>2021</v>
      </c>
      <c r="H718">
        <f t="shared" si="33"/>
        <v>1</v>
      </c>
    </row>
    <row r="719" spans="1:8" x14ac:dyDescent="0.25">
      <c r="A719" t="s">
        <v>2624</v>
      </c>
      <c r="B719" s="1">
        <v>45506</v>
      </c>
      <c r="C719" s="1">
        <v>45509</v>
      </c>
      <c r="D719" s="1">
        <v>45644</v>
      </c>
      <c r="E719">
        <v>9974.94</v>
      </c>
      <c r="F719">
        <f t="shared" si="34"/>
        <v>2024</v>
      </c>
      <c r="G719">
        <f t="shared" si="35"/>
        <v>2024</v>
      </c>
      <c r="H719">
        <f t="shared" si="33"/>
        <v>0</v>
      </c>
    </row>
    <row r="720" spans="1:8" x14ac:dyDescent="0.25">
      <c r="A720" t="s">
        <v>2625</v>
      </c>
      <c r="B720" s="1">
        <v>44997</v>
      </c>
      <c r="C720" s="1">
        <v>45034</v>
      </c>
      <c r="D720" s="1">
        <v>45347</v>
      </c>
      <c r="E720">
        <v>64393.279999999999</v>
      </c>
      <c r="F720">
        <f t="shared" si="34"/>
        <v>2023</v>
      </c>
      <c r="G720">
        <f t="shared" si="35"/>
        <v>2024</v>
      </c>
      <c r="H720">
        <f t="shared" si="33"/>
        <v>1</v>
      </c>
    </row>
    <row r="721" spans="1:8" x14ac:dyDescent="0.25">
      <c r="A721" t="s">
        <v>2373</v>
      </c>
      <c r="B721" s="1">
        <v>44299</v>
      </c>
      <c r="C721" s="1">
        <v>44373</v>
      </c>
      <c r="D721" s="1">
        <v>44650</v>
      </c>
      <c r="E721">
        <v>27077.46</v>
      </c>
      <c r="F721">
        <f t="shared" si="34"/>
        <v>2021</v>
      </c>
      <c r="G721">
        <f t="shared" si="35"/>
        <v>2022</v>
      </c>
      <c r="H721">
        <f t="shared" si="33"/>
        <v>1</v>
      </c>
    </row>
    <row r="722" spans="1:8" x14ac:dyDescent="0.25">
      <c r="A722" t="s">
        <v>2303</v>
      </c>
      <c r="B722" s="1">
        <v>44927</v>
      </c>
      <c r="C722" s="1">
        <v>44966</v>
      </c>
      <c r="D722" s="1">
        <v>44888</v>
      </c>
      <c r="E722">
        <v>34873.39</v>
      </c>
      <c r="F722">
        <f t="shared" si="34"/>
        <v>2023</v>
      </c>
      <c r="G722">
        <f t="shared" si="35"/>
        <v>2022</v>
      </c>
      <c r="H722">
        <f t="shared" si="33"/>
        <v>0</v>
      </c>
    </row>
    <row r="723" spans="1:8" x14ac:dyDescent="0.25">
      <c r="A723" t="s">
        <v>2241</v>
      </c>
      <c r="B723" s="1">
        <v>45286</v>
      </c>
      <c r="C723" s="1">
        <v>45306</v>
      </c>
      <c r="D723" s="1">
        <v>45626</v>
      </c>
      <c r="E723">
        <v>38764.379999999997</v>
      </c>
      <c r="F723">
        <f t="shared" si="34"/>
        <v>2023</v>
      </c>
      <c r="G723">
        <f t="shared" si="35"/>
        <v>2024</v>
      </c>
      <c r="H723">
        <f t="shared" si="33"/>
        <v>1</v>
      </c>
    </row>
    <row r="724" spans="1:8" x14ac:dyDescent="0.25">
      <c r="A724" t="s">
        <v>2626</v>
      </c>
      <c r="B724" s="1">
        <v>45035</v>
      </c>
      <c r="C724" s="1">
        <v>45111</v>
      </c>
      <c r="D724" s="1">
        <v>45454</v>
      </c>
      <c r="E724">
        <v>53582.51</v>
      </c>
      <c r="F724">
        <f t="shared" si="34"/>
        <v>2023</v>
      </c>
      <c r="G724">
        <f t="shared" si="35"/>
        <v>2024</v>
      </c>
      <c r="H724">
        <f t="shared" si="33"/>
        <v>1</v>
      </c>
    </row>
    <row r="725" spans="1:8" x14ac:dyDescent="0.25">
      <c r="A725" t="s">
        <v>2254</v>
      </c>
      <c r="B725" s="1">
        <v>44035</v>
      </c>
      <c r="C725" s="1">
        <v>44101</v>
      </c>
      <c r="D725" s="1">
        <v>44518</v>
      </c>
      <c r="E725">
        <v>7674.14</v>
      </c>
      <c r="F725">
        <f t="shared" si="34"/>
        <v>2020</v>
      </c>
      <c r="G725">
        <f t="shared" si="35"/>
        <v>2021</v>
      </c>
      <c r="H725">
        <f t="shared" si="33"/>
        <v>1</v>
      </c>
    </row>
    <row r="726" spans="1:8" x14ac:dyDescent="0.25">
      <c r="A726" t="s">
        <v>2627</v>
      </c>
      <c r="B726" s="1">
        <v>45571</v>
      </c>
      <c r="C726" s="1">
        <v>45634</v>
      </c>
      <c r="D726" s="1">
        <v>45699</v>
      </c>
      <c r="E726">
        <v>33037.97</v>
      </c>
      <c r="F726">
        <f t="shared" si="34"/>
        <v>2024</v>
      </c>
      <c r="G726">
        <f t="shared" si="35"/>
        <v>2025</v>
      </c>
      <c r="H726">
        <f t="shared" si="33"/>
        <v>1</v>
      </c>
    </row>
    <row r="727" spans="1:8" x14ac:dyDescent="0.25">
      <c r="A727" t="s">
        <v>2474</v>
      </c>
      <c r="B727" s="1">
        <v>44019</v>
      </c>
      <c r="C727" s="1">
        <v>44065</v>
      </c>
      <c r="D727" s="1">
        <v>44089</v>
      </c>
      <c r="E727">
        <v>25659.15</v>
      </c>
      <c r="F727">
        <f t="shared" si="34"/>
        <v>2020</v>
      </c>
      <c r="G727">
        <f t="shared" si="35"/>
        <v>2020</v>
      </c>
      <c r="H727">
        <f t="shared" si="33"/>
        <v>0</v>
      </c>
    </row>
    <row r="728" spans="1:8" x14ac:dyDescent="0.25">
      <c r="A728" t="s">
        <v>2393</v>
      </c>
      <c r="B728" s="1">
        <v>44356</v>
      </c>
      <c r="C728" s="1">
        <v>44431</v>
      </c>
      <c r="D728" s="1">
        <v>44497</v>
      </c>
      <c r="E728">
        <v>28583.759999999998</v>
      </c>
      <c r="F728">
        <f t="shared" si="34"/>
        <v>2021</v>
      </c>
      <c r="G728">
        <f t="shared" si="35"/>
        <v>2021</v>
      </c>
      <c r="H728">
        <f t="shared" si="33"/>
        <v>0</v>
      </c>
    </row>
    <row r="729" spans="1:8" x14ac:dyDescent="0.25">
      <c r="A729" t="s">
        <v>2236</v>
      </c>
      <c r="B729" s="1">
        <v>45218</v>
      </c>
      <c r="C729" s="1">
        <v>45266</v>
      </c>
      <c r="D729" s="1">
        <v>45678</v>
      </c>
      <c r="E729">
        <v>25715.11</v>
      </c>
      <c r="F729">
        <f t="shared" si="34"/>
        <v>2023</v>
      </c>
      <c r="G729">
        <f t="shared" si="35"/>
        <v>2025</v>
      </c>
      <c r="H729">
        <f t="shared" si="33"/>
        <v>2</v>
      </c>
    </row>
    <row r="730" spans="1:8" x14ac:dyDescent="0.25">
      <c r="A730" t="s">
        <v>2628</v>
      </c>
      <c r="B730" s="1">
        <v>43951</v>
      </c>
      <c r="C730" s="1">
        <v>44002</v>
      </c>
      <c r="D730" s="1">
        <v>44305</v>
      </c>
      <c r="E730">
        <v>3828.33</v>
      </c>
      <c r="F730">
        <f t="shared" si="34"/>
        <v>2020</v>
      </c>
      <c r="G730">
        <f t="shared" si="35"/>
        <v>2021</v>
      </c>
      <c r="H730">
        <f t="shared" si="33"/>
        <v>1</v>
      </c>
    </row>
    <row r="731" spans="1:8" x14ac:dyDescent="0.25">
      <c r="A731" t="s">
        <v>2583</v>
      </c>
      <c r="B731" s="1">
        <v>44988</v>
      </c>
      <c r="C731" s="1">
        <v>44989</v>
      </c>
      <c r="D731" s="1">
        <v>45159</v>
      </c>
      <c r="E731">
        <v>12249.21</v>
      </c>
      <c r="F731">
        <f t="shared" si="34"/>
        <v>2023</v>
      </c>
      <c r="G731">
        <f t="shared" si="35"/>
        <v>2023</v>
      </c>
      <c r="H731">
        <f t="shared" si="33"/>
        <v>0</v>
      </c>
    </row>
    <row r="732" spans="1:8" x14ac:dyDescent="0.25">
      <c r="A732" t="s">
        <v>2621</v>
      </c>
      <c r="B732" s="1">
        <v>44981</v>
      </c>
      <c r="C732" s="1">
        <v>45067</v>
      </c>
      <c r="D732" s="1">
        <v>45695</v>
      </c>
      <c r="E732">
        <v>-15916.46</v>
      </c>
      <c r="F732">
        <f t="shared" si="34"/>
        <v>2023</v>
      </c>
      <c r="G732">
        <f t="shared" si="35"/>
        <v>2025</v>
      </c>
      <c r="H732">
        <f t="shared" si="33"/>
        <v>2</v>
      </c>
    </row>
    <row r="733" spans="1:8" x14ac:dyDescent="0.25">
      <c r="A733" t="s">
        <v>2324</v>
      </c>
      <c r="B733" s="1">
        <v>44532</v>
      </c>
      <c r="C733" s="1">
        <v>44607</v>
      </c>
      <c r="D733" s="1">
        <v>44941</v>
      </c>
      <c r="E733">
        <v>73041.59</v>
      </c>
      <c r="F733">
        <f t="shared" si="34"/>
        <v>2021</v>
      </c>
      <c r="G733">
        <f t="shared" si="35"/>
        <v>2023</v>
      </c>
      <c r="H733">
        <f t="shared" si="33"/>
        <v>2</v>
      </c>
    </row>
    <row r="734" spans="1:8" x14ac:dyDescent="0.25">
      <c r="A734" t="s">
        <v>2251</v>
      </c>
      <c r="B734" s="1">
        <v>44692</v>
      </c>
      <c r="D734" s="1">
        <v>45037</v>
      </c>
      <c r="E734">
        <v>24246.42</v>
      </c>
      <c r="F734">
        <f t="shared" si="34"/>
        <v>2022</v>
      </c>
      <c r="G734">
        <f t="shared" si="35"/>
        <v>2023</v>
      </c>
      <c r="H734">
        <f t="shared" si="33"/>
        <v>1</v>
      </c>
    </row>
    <row r="735" spans="1:8" x14ac:dyDescent="0.25">
      <c r="A735" t="s">
        <v>2385</v>
      </c>
      <c r="B735" s="1">
        <v>44045</v>
      </c>
      <c r="D735" s="1">
        <v>44287</v>
      </c>
      <c r="E735">
        <v>77182.23</v>
      </c>
      <c r="F735">
        <f t="shared" si="34"/>
        <v>2020</v>
      </c>
      <c r="G735">
        <f t="shared" si="35"/>
        <v>2021</v>
      </c>
      <c r="H735">
        <f t="shared" si="33"/>
        <v>1</v>
      </c>
    </row>
    <row r="736" spans="1:8" x14ac:dyDescent="0.25">
      <c r="A736" t="s">
        <v>2478</v>
      </c>
      <c r="B736" s="1">
        <v>44285</v>
      </c>
      <c r="C736" s="1">
        <v>44329</v>
      </c>
      <c r="D736" s="1">
        <v>44404</v>
      </c>
      <c r="E736">
        <v>43080.65</v>
      </c>
      <c r="F736">
        <f t="shared" si="34"/>
        <v>2021</v>
      </c>
      <c r="G736">
        <f t="shared" si="35"/>
        <v>2021</v>
      </c>
      <c r="H736">
        <f t="shared" si="33"/>
        <v>0</v>
      </c>
    </row>
    <row r="737" spans="1:8" x14ac:dyDescent="0.25">
      <c r="A737" t="s">
        <v>2371</v>
      </c>
      <c r="B737" s="1">
        <v>44902</v>
      </c>
      <c r="C737" s="1">
        <v>44973</v>
      </c>
      <c r="D737" s="1">
        <v>45108</v>
      </c>
      <c r="E737">
        <v>-10172.06</v>
      </c>
      <c r="F737">
        <f t="shared" si="34"/>
        <v>2022</v>
      </c>
      <c r="G737">
        <f t="shared" si="35"/>
        <v>2023</v>
      </c>
      <c r="H737">
        <f t="shared" si="33"/>
        <v>1</v>
      </c>
    </row>
    <row r="738" spans="1:8" x14ac:dyDescent="0.25">
      <c r="A738" t="s">
        <v>2629</v>
      </c>
      <c r="B738" s="1">
        <v>44550</v>
      </c>
      <c r="C738" s="1">
        <v>44602</v>
      </c>
      <c r="D738" s="1">
        <v>44767</v>
      </c>
      <c r="E738">
        <v>65762.87</v>
      </c>
      <c r="F738">
        <f t="shared" si="34"/>
        <v>2021</v>
      </c>
      <c r="G738">
        <f t="shared" si="35"/>
        <v>2022</v>
      </c>
      <c r="H738">
        <f t="shared" si="33"/>
        <v>1</v>
      </c>
    </row>
    <row r="739" spans="1:8" x14ac:dyDescent="0.25">
      <c r="A739" t="s">
        <v>2175</v>
      </c>
      <c r="B739" s="1">
        <v>43913</v>
      </c>
      <c r="C739" s="1">
        <v>43927</v>
      </c>
      <c r="D739" s="1">
        <v>44307</v>
      </c>
      <c r="E739">
        <v>69440.36</v>
      </c>
      <c r="F739">
        <f t="shared" si="34"/>
        <v>2020</v>
      </c>
      <c r="G739">
        <f t="shared" si="35"/>
        <v>2021</v>
      </c>
      <c r="H739">
        <f t="shared" si="33"/>
        <v>1</v>
      </c>
    </row>
    <row r="740" spans="1:8" x14ac:dyDescent="0.25">
      <c r="A740" t="s">
        <v>2306</v>
      </c>
      <c r="B740" s="1">
        <v>45077</v>
      </c>
      <c r="C740" s="1">
        <v>45119</v>
      </c>
      <c r="D740" s="1">
        <v>45668</v>
      </c>
      <c r="E740">
        <v>2305.64</v>
      </c>
      <c r="F740">
        <f t="shared" si="34"/>
        <v>2023</v>
      </c>
      <c r="G740">
        <f t="shared" si="35"/>
        <v>2025</v>
      </c>
      <c r="H740">
        <f t="shared" si="33"/>
        <v>2</v>
      </c>
    </row>
    <row r="741" spans="1:8" x14ac:dyDescent="0.25">
      <c r="A741" t="s">
        <v>2217</v>
      </c>
      <c r="B741" s="1">
        <v>43979</v>
      </c>
      <c r="C741" s="1">
        <v>44024</v>
      </c>
      <c r="D741" s="1">
        <v>44076</v>
      </c>
      <c r="E741">
        <v>16633.02</v>
      </c>
      <c r="F741">
        <f t="shared" si="34"/>
        <v>2020</v>
      </c>
      <c r="G741">
        <f t="shared" si="35"/>
        <v>2020</v>
      </c>
      <c r="H741">
        <f t="shared" si="33"/>
        <v>0</v>
      </c>
    </row>
    <row r="742" spans="1:8" x14ac:dyDescent="0.25">
      <c r="A742" t="s">
        <v>2426</v>
      </c>
      <c r="B742" s="1">
        <v>44773</v>
      </c>
      <c r="C742" s="1">
        <v>44790</v>
      </c>
      <c r="D742" s="1">
        <v>45129</v>
      </c>
      <c r="E742">
        <v>5718.49</v>
      </c>
      <c r="F742">
        <f t="shared" si="34"/>
        <v>2022</v>
      </c>
      <c r="G742">
        <f t="shared" si="35"/>
        <v>2023</v>
      </c>
      <c r="H742">
        <f t="shared" si="33"/>
        <v>1</v>
      </c>
    </row>
    <row r="743" spans="1:8" x14ac:dyDescent="0.25">
      <c r="A743" t="s">
        <v>2612</v>
      </c>
      <c r="B743" s="1">
        <v>45392</v>
      </c>
      <c r="C743" s="1">
        <v>45462</v>
      </c>
      <c r="D743" s="1">
        <v>45576</v>
      </c>
      <c r="E743">
        <v>28144.42</v>
      </c>
      <c r="F743">
        <f t="shared" si="34"/>
        <v>2024</v>
      </c>
      <c r="G743">
        <f t="shared" si="35"/>
        <v>2024</v>
      </c>
      <c r="H743">
        <f t="shared" si="33"/>
        <v>0</v>
      </c>
    </row>
    <row r="744" spans="1:8" x14ac:dyDescent="0.25">
      <c r="A744" t="s">
        <v>2461</v>
      </c>
      <c r="B744" s="1">
        <v>45290</v>
      </c>
      <c r="D744" s="1">
        <v>45450</v>
      </c>
      <c r="E744">
        <v>-13053.42</v>
      </c>
      <c r="F744">
        <f t="shared" si="34"/>
        <v>2023</v>
      </c>
      <c r="G744">
        <f t="shared" si="35"/>
        <v>2024</v>
      </c>
      <c r="H744">
        <f t="shared" si="33"/>
        <v>1</v>
      </c>
    </row>
    <row r="745" spans="1:8" x14ac:dyDescent="0.25">
      <c r="A745" t="s">
        <v>2630</v>
      </c>
      <c r="B745" s="1">
        <v>44461</v>
      </c>
      <c r="C745" s="1">
        <v>44463</v>
      </c>
      <c r="D745" s="1">
        <v>44640</v>
      </c>
      <c r="E745">
        <v>10251.57</v>
      </c>
      <c r="F745">
        <f t="shared" si="34"/>
        <v>2021</v>
      </c>
      <c r="G745">
        <f t="shared" si="35"/>
        <v>2022</v>
      </c>
      <c r="H745">
        <f t="shared" si="33"/>
        <v>1</v>
      </c>
    </row>
    <row r="746" spans="1:8" x14ac:dyDescent="0.25">
      <c r="A746" t="s">
        <v>2631</v>
      </c>
      <c r="B746" s="1">
        <v>44293</v>
      </c>
      <c r="D746" s="1">
        <v>44485</v>
      </c>
      <c r="E746">
        <v>4253.07</v>
      </c>
      <c r="F746">
        <f t="shared" si="34"/>
        <v>2021</v>
      </c>
      <c r="G746">
        <f t="shared" si="35"/>
        <v>2021</v>
      </c>
      <c r="H746">
        <f t="shared" si="33"/>
        <v>0</v>
      </c>
    </row>
    <row r="747" spans="1:8" x14ac:dyDescent="0.25">
      <c r="A747" t="s">
        <v>2632</v>
      </c>
      <c r="B747" s="1">
        <v>44571</v>
      </c>
      <c r="C747" s="1">
        <v>44629</v>
      </c>
      <c r="D747" s="1">
        <v>44715</v>
      </c>
      <c r="E747">
        <v>-5124.2700000000004</v>
      </c>
      <c r="F747">
        <f t="shared" si="34"/>
        <v>2022</v>
      </c>
      <c r="G747">
        <f t="shared" si="35"/>
        <v>2022</v>
      </c>
      <c r="H747">
        <f t="shared" si="33"/>
        <v>0</v>
      </c>
    </row>
    <row r="748" spans="1:8" x14ac:dyDescent="0.25">
      <c r="A748" t="s">
        <v>2428</v>
      </c>
      <c r="B748" s="1">
        <v>44781</v>
      </c>
      <c r="C748" s="1">
        <v>44848</v>
      </c>
      <c r="D748" s="1">
        <v>45040</v>
      </c>
      <c r="E748">
        <v>-3219.96</v>
      </c>
      <c r="F748">
        <f t="shared" si="34"/>
        <v>2022</v>
      </c>
      <c r="G748">
        <f t="shared" si="35"/>
        <v>2023</v>
      </c>
      <c r="H748">
        <f t="shared" si="33"/>
        <v>1</v>
      </c>
    </row>
    <row r="749" spans="1:8" x14ac:dyDescent="0.25">
      <c r="A749" t="s">
        <v>2408</v>
      </c>
      <c r="B749" s="1">
        <v>44337</v>
      </c>
      <c r="C749" s="1">
        <v>44373</v>
      </c>
      <c r="D749" s="1">
        <v>44389</v>
      </c>
      <c r="E749">
        <v>84563.1</v>
      </c>
      <c r="F749">
        <f t="shared" si="34"/>
        <v>2021</v>
      </c>
      <c r="G749">
        <f t="shared" si="35"/>
        <v>2021</v>
      </c>
      <c r="H749">
        <f t="shared" si="33"/>
        <v>0</v>
      </c>
    </row>
    <row r="750" spans="1:8" x14ac:dyDescent="0.25">
      <c r="A750" t="s">
        <v>2351</v>
      </c>
      <c r="B750" s="1">
        <v>44988</v>
      </c>
      <c r="C750" s="1">
        <v>45075</v>
      </c>
      <c r="D750" s="1">
        <v>45222</v>
      </c>
      <c r="E750">
        <v>21595.67</v>
      </c>
      <c r="F750">
        <f t="shared" si="34"/>
        <v>2023</v>
      </c>
      <c r="G750">
        <f t="shared" si="35"/>
        <v>2023</v>
      </c>
      <c r="H750">
        <f t="shared" si="33"/>
        <v>0</v>
      </c>
    </row>
    <row r="751" spans="1:8" x14ac:dyDescent="0.25">
      <c r="A751" t="s">
        <v>2439</v>
      </c>
      <c r="B751" s="1">
        <v>45560</v>
      </c>
      <c r="C751" s="1">
        <v>45606</v>
      </c>
      <c r="D751" s="1">
        <v>45771</v>
      </c>
      <c r="E751">
        <v>19543.41</v>
      </c>
      <c r="F751">
        <f t="shared" si="34"/>
        <v>2024</v>
      </c>
      <c r="G751">
        <f t="shared" si="35"/>
        <v>2025</v>
      </c>
      <c r="H751">
        <f t="shared" si="33"/>
        <v>1</v>
      </c>
    </row>
    <row r="752" spans="1:8" x14ac:dyDescent="0.25">
      <c r="A752" t="s">
        <v>2633</v>
      </c>
      <c r="B752" s="1">
        <v>44375</v>
      </c>
      <c r="C752" s="1">
        <v>44442</v>
      </c>
      <c r="D752" s="1">
        <v>44776</v>
      </c>
      <c r="E752">
        <v>20008.490000000002</v>
      </c>
      <c r="F752">
        <f t="shared" si="34"/>
        <v>2021</v>
      </c>
      <c r="G752">
        <f t="shared" si="35"/>
        <v>2022</v>
      </c>
      <c r="H752">
        <f t="shared" si="33"/>
        <v>1</v>
      </c>
    </row>
    <row r="753" spans="1:8" x14ac:dyDescent="0.25">
      <c r="A753" t="s">
        <v>2244</v>
      </c>
      <c r="B753" s="1">
        <v>44865</v>
      </c>
      <c r="C753" s="1">
        <v>44907</v>
      </c>
      <c r="D753" s="1">
        <v>45268</v>
      </c>
      <c r="E753">
        <v>25851.27</v>
      </c>
      <c r="F753">
        <f t="shared" si="34"/>
        <v>2022</v>
      </c>
      <c r="G753">
        <f t="shared" si="35"/>
        <v>2023</v>
      </c>
      <c r="H753">
        <f t="shared" si="33"/>
        <v>1</v>
      </c>
    </row>
    <row r="754" spans="1:8" x14ac:dyDescent="0.25">
      <c r="A754" t="s">
        <v>2270</v>
      </c>
      <c r="B754" s="1">
        <v>43883</v>
      </c>
      <c r="C754" s="1">
        <v>43902</v>
      </c>
      <c r="D754" s="1">
        <v>44213</v>
      </c>
      <c r="E754">
        <v>65306.39</v>
      </c>
      <c r="F754">
        <f t="shared" si="34"/>
        <v>2020</v>
      </c>
      <c r="G754">
        <f t="shared" si="35"/>
        <v>2021</v>
      </c>
      <c r="H754">
        <f t="shared" si="33"/>
        <v>1</v>
      </c>
    </row>
    <row r="755" spans="1:8" x14ac:dyDescent="0.25">
      <c r="A755" t="s">
        <v>2634</v>
      </c>
      <c r="B755" s="1">
        <v>45387</v>
      </c>
      <c r="C755" s="1">
        <v>45474</v>
      </c>
      <c r="D755" s="1">
        <v>45709</v>
      </c>
      <c r="E755">
        <v>44647.16</v>
      </c>
      <c r="F755">
        <f t="shared" si="34"/>
        <v>2024</v>
      </c>
      <c r="G755">
        <f t="shared" si="35"/>
        <v>2025</v>
      </c>
      <c r="H755">
        <f t="shared" si="33"/>
        <v>1</v>
      </c>
    </row>
    <row r="756" spans="1:8" x14ac:dyDescent="0.25">
      <c r="A756" t="s">
        <v>2514</v>
      </c>
      <c r="B756" s="1">
        <v>44028</v>
      </c>
      <c r="C756" s="1">
        <v>44071</v>
      </c>
      <c r="D756" s="1">
        <v>44351</v>
      </c>
      <c r="E756">
        <v>83960.91</v>
      </c>
      <c r="F756">
        <f t="shared" si="34"/>
        <v>2020</v>
      </c>
      <c r="G756">
        <f t="shared" si="35"/>
        <v>2021</v>
      </c>
      <c r="H756">
        <f t="shared" si="33"/>
        <v>1</v>
      </c>
    </row>
    <row r="757" spans="1:8" x14ac:dyDescent="0.25">
      <c r="A757" t="s">
        <v>2635</v>
      </c>
      <c r="B757" s="1">
        <v>45251</v>
      </c>
      <c r="C757" s="1">
        <v>45289</v>
      </c>
      <c r="D757" s="1">
        <v>45341</v>
      </c>
      <c r="E757">
        <v>50616.11</v>
      </c>
      <c r="F757">
        <f t="shared" si="34"/>
        <v>2023</v>
      </c>
      <c r="G757">
        <f t="shared" si="35"/>
        <v>2024</v>
      </c>
      <c r="H757">
        <f t="shared" si="33"/>
        <v>1</v>
      </c>
    </row>
    <row r="758" spans="1:8" x14ac:dyDescent="0.25">
      <c r="A758" t="s">
        <v>2636</v>
      </c>
      <c r="B758" s="1">
        <v>45386</v>
      </c>
      <c r="C758" s="1">
        <v>45475</v>
      </c>
      <c r="D758" s="1">
        <v>45803</v>
      </c>
      <c r="E758">
        <v>2240.52</v>
      </c>
      <c r="F758">
        <f t="shared" si="34"/>
        <v>2024</v>
      </c>
      <c r="G758">
        <f t="shared" si="35"/>
        <v>2025</v>
      </c>
      <c r="H758">
        <f t="shared" si="33"/>
        <v>1</v>
      </c>
    </row>
    <row r="759" spans="1:8" x14ac:dyDescent="0.25">
      <c r="A759" t="s">
        <v>2637</v>
      </c>
      <c r="B759" s="1">
        <v>44226</v>
      </c>
      <c r="C759" s="1">
        <v>44269</v>
      </c>
      <c r="D759" s="1">
        <v>44620</v>
      </c>
      <c r="E759">
        <v>60357.84</v>
      </c>
      <c r="F759">
        <f t="shared" si="34"/>
        <v>2021</v>
      </c>
      <c r="G759">
        <f t="shared" si="35"/>
        <v>2022</v>
      </c>
      <c r="H759">
        <f t="shared" si="33"/>
        <v>1</v>
      </c>
    </row>
    <row r="760" spans="1:8" x14ac:dyDescent="0.25">
      <c r="A760" t="s">
        <v>2638</v>
      </c>
      <c r="B760" s="1">
        <v>45204</v>
      </c>
      <c r="C760" s="1">
        <v>45206</v>
      </c>
      <c r="D760" s="1">
        <v>45357</v>
      </c>
      <c r="E760">
        <v>-3946.93</v>
      </c>
      <c r="F760">
        <f t="shared" si="34"/>
        <v>2023</v>
      </c>
      <c r="G760">
        <f t="shared" si="35"/>
        <v>2024</v>
      </c>
      <c r="H760">
        <f t="shared" si="33"/>
        <v>1</v>
      </c>
    </row>
    <row r="761" spans="1:8" x14ac:dyDescent="0.25">
      <c r="A761" t="s">
        <v>2146</v>
      </c>
      <c r="B761" s="1">
        <v>43892</v>
      </c>
      <c r="C761" s="1">
        <v>43981</v>
      </c>
      <c r="D761" s="1">
        <v>44377</v>
      </c>
      <c r="E761">
        <v>-4699.8500000000004</v>
      </c>
      <c r="F761">
        <f t="shared" si="34"/>
        <v>2020</v>
      </c>
      <c r="G761">
        <f t="shared" si="35"/>
        <v>2021</v>
      </c>
      <c r="H761">
        <f t="shared" si="33"/>
        <v>1</v>
      </c>
    </row>
    <row r="762" spans="1:8" x14ac:dyDescent="0.25">
      <c r="A762" t="s">
        <v>2261</v>
      </c>
      <c r="B762" s="1">
        <v>44352</v>
      </c>
      <c r="C762" s="1">
        <v>44418</v>
      </c>
      <c r="D762" s="1">
        <v>44664</v>
      </c>
      <c r="E762">
        <v>15170.93</v>
      </c>
      <c r="F762">
        <f t="shared" si="34"/>
        <v>2021</v>
      </c>
      <c r="G762">
        <f t="shared" si="35"/>
        <v>2022</v>
      </c>
      <c r="H762">
        <f t="shared" si="33"/>
        <v>1</v>
      </c>
    </row>
    <row r="763" spans="1:8" x14ac:dyDescent="0.25">
      <c r="A763" t="s">
        <v>2618</v>
      </c>
      <c r="B763" s="1">
        <v>44564</v>
      </c>
      <c r="C763" s="1">
        <v>44616</v>
      </c>
      <c r="D763" s="1">
        <v>44896</v>
      </c>
      <c r="E763">
        <v>51610.65</v>
      </c>
      <c r="F763">
        <f t="shared" si="34"/>
        <v>2022</v>
      </c>
      <c r="G763">
        <f t="shared" si="35"/>
        <v>2022</v>
      </c>
      <c r="H763">
        <f t="shared" si="33"/>
        <v>0</v>
      </c>
    </row>
    <row r="764" spans="1:8" x14ac:dyDescent="0.25">
      <c r="A764" t="s">
        <v>2153</v>
      </c>
      <c r="B764" s="1">
        <v>44444</v>
      </c>
      <c r="C764" s="1">
        <v>44449</v>
      </c>
      <c r="D764" s="1">
        <v>44834</v>
      </c>
      <c r="E764">
        <v>-17212.919999999998</v>
      </c>
      <c r="F764">
        <f t="shared" si="34"/>
        <v>2021</v>
      </c>
      <c r="G764">
        <f t="shared" si="35"/>
        <v>2022</v>
      </c>
      <c r="H764">
        <f t="shared" si="33"/>
        <v>1</v>
      </c>
    </row>
    <row r="765" spans="1:8" x14ac:dyDescent="0.25">
      <c r="A765" t="s">
        <v>2451</v>
      </c>
      <c r="B765" s="1">
        <v>44516</v>
      </c>
      <c r="C765" s="1">
        <v>44553</v>
      </c>
      <c r="D765" s="1">
        <v>44752</v>
      </c>
      <c r="E765">
        <v>52633.279999999999</v>
      </c>
      <c r="F765">
        <f t="shared" si="34"/>
        <v>2021</v>
      </c>
      <c r="G765">
        <f t="shared" si="35"/>
        <v>2022</v>
      </c>
      <c r="H765">
        <f t="shared" si="33"/>
        <v>1</v>
      </c>
    </row>
    <row r="766" spans="1:8" x14ac:dyDescent="0.25">
      <c r="A766" t="s">
        <v>2537</v>
      </c>
      <c r="B766" s="1">
        <v>44846</v>
      </c>
      <c r="C766" s="1">
        <v>44895</v>
      </c>
      <c r="D766" s="1">
        <v>44976</v>
      </c>
      <c r="E766">
        <v>40533.56</v>
      </c>
      <c r="F766">
        <f t="shared" si="34"/>
        <v>2022</v>
      </c>
      <c r="G766">
        <f t="shared" si="35"/>
        <v>2023</v>
      </c>
      <c r="H766">
        <f t="shared" si="33"/>
        <v>1</v>
      </c>
    </row>
    <row r="767" spans="1:8" x14ac:dyDescent="0.25">
      <c r="A767" t="s">
        <v>2639</v>
      </c>
      <c r="B767" s="1">
        <v>44409</v>
      </c>
      <c r="C767" s="1">
        <v>44425</v>
      </c>
      <c r="D767" s="1">
        <v>44739</v>
      </c>
      <c r="E767">
        <v>16181.32</v>
      </c>
      <c r="F767">
        <f t="shared" si="34"/>
        <v>2021</v>
      </c>
      <c r="G767">
        <f t="shared" si="35"/>
        <v>2022</v>
      </c>
      <c r="H767">
        <f t="shared" si="33"/>
        <v>1</v>
      </c>
    </row>
    <row r="768" spans="1:8" x14ac:dyDescent="0.25">
      <c r="A768" t="s">
        <v>2178</v>
      </c>
      <c r="B768" s="1">
        <v>44836</v>
      </c>
      <c r="C768" s="1">
        <v>44858</v>
      </c>
      <c r="D768" s="1">
        <v>45201</v>
      </c>
      <c r="E768">
        <v>51953.62</v>
      </c>
      <c r="F768">
        <f t="shared" si="34"/>
        <v>2022</v>
      </c>
      <c r="G768">
        <f t="shared" si="35"/>
        <v>2023</v>
      </c>
      <c r="H768">
        <f t="shared" si="33"/>
        <v>1</v>
      </c>
    </row>
    <row r="769" spans="1:8" x14ac:dyDescent="0.25">
      <c r="A769" t="s">
        <v>2640</v>
      </c>
      <c r="B769" s="1">
        <v>45302</v>
      </c>
      <c r="C769" s="1">
        <v>45339</v>
      </c>
      <c r="D769" s="1">
        <v>45405</v>
      </c>
      <c r="E769">
        <v>74895.740000000005</v>
      </c>
      <c r="F769">
        <f t="shared" si="34"/>
        <v>2024</v>
      </c>
      <c r="G769">
        <f t="shared" si="35"/>
        <v>2024</v>
      </c>
      <c r="H769">
        <f t="shared" si="33"/>
        <v>0</v>
      </c>
    </row>
    <row r="770" spans="1:8" x14ac:dyDescent="0.25">
      <c r="A770" t="s">
        <v>2444</v>
      </c>
      <c r="B770" s="1">
        <v>44495</v>
      </c>
      <c r="C770" s="1">
        <v>44530</v>
      </c>
      <c r="D770" s="1">
        <v>45166</v>
      </c>
      <c r="E770">
        <v>4744.53</v>
      </c>
      <c r="F770">
        <f t="shared" si="34"/>
        <v>2021</v>
      </c>
      <c r="G770">
        <f t="shared" si="35"/>
        <v>2023</v>
      </c>
      <c r="H770">
        <f t="shared" ref="H770:H833" si="36">MAX(0,G770-F770)</f>
        <v>2</v>
      </c>
    </row>
    <row r="771" spans="1:8" x14ac:dyDescent="0.25">
      <c r="A771" t="s">
        <v>2456</v>
      </c>
      <c r="B771" s="1">
        <v>45244</v>
      </c>
      <c r="C771" s="1">
        <v>45323</v>
      </c>
      <c r="D771" s="1">
        <v>45400</v>
      </c>
      <c r="E771">
        <v>61988</v>
      </c>
      <c r="F771">
        <f t="shared" ref="F771:F834" si="37">YEAR(B771)</f>
        <v>2023</v>
      </c>
      <c r="G771">
        <f t="shared" ref="G771:G834" si="38">YEAR(D771)</f>
        <v>2024</v>
      </c>
      <c r="H771">
        <f t="shared" si="36"/>
        <v>1</v>
      </c>
    </row>
    <row r="772" spans="1:8" x14ac:dyDescent="0.25">
      <c r="A772" t="s">
        <v>2438</v>
      </c>
      <c r="B772" s="1">
        <v>44556</v>
      </c>
      <c r="C772" s="1">
        <v>44609</v>
      </c>
      <c r="D772" s="1">
        <v>44855</v>
      </c>
      <c r="E772">
        <v>-17542.73</v>
      </c>
      <c r="F772">
        <f t="shared" si="37"/>
        <v>2021</v>
      </c>
      <c r="G772">
        <f t="shared" si="38"/>
        <v>2022</v>
      </c>
      <c r="H772">
        <f t="shared" si="36"/>
        <v>1</v>
      </c>
    </row>
    <row r="773" spans="1:8" x14ac:dyDescent="0.25">
      <c r="A773" t="s">
        <v>2637</v>
      </c>
      <c r="B773" s="1">
        <v>44226</v>
      </c>
      <c r="C773" s="1">
        <v>44269</v>
      </c>
      <c r="D773" s="1">
        <v>44781</v>
      </c>
      <c r="E773">
        <v>26208.84</v>
      </c>
      <c r="F773">
        <f t="shared" si="37"/>
        <v>2021</v>
      </c>
      <c r="G773">
        <f t="shared" si="38"/>
        <v>2022</v>
      </c>
      <c r="H773">
        <f t="shared" si="36"/>
        <v>1</v>
      </c>
    </row>
    <row r="774" spans="1:8" x14ac:dyDescent="0.25">
      <c r="A774" t="s">
        <v>2641</v>
      </c>
      <c r="B774" s="1">
        <v>44078</v>
      </c>
      <c r="D774" s="1">
        <v>44140</v>
      </c>
      <c r="E774">
        <v>83709.23</v>
      </c>
      <c r="F774">
        <f t="shared" si="37"/>
        <v>2020</v>
      </c>
      <c r="G774">
        <f t="shared" si="38"/>
        <v>2020</v>
      </c>
      <c r="H774">
        <f t="shared" si="36"/>
        <v>0</v>
      </c>
    </row>
    <row r="775" spans="1:8" x14ac:dyDescent="0.25">
      <c r="A775" t="s">
        <v>2642</v>
      </c>
      <c r="B775" s="1">
        <v>44084</v>
      </c>
      <c r="C775" s="1">
        <v>44168</v>
      </c>
      <c r="D775" s="1">
        <v>44385</v>
      </c>
      <c r="E775">
        <v>-6289.15</v>
      </c>
      <c r="F775">
        <f t="shared" si="37"/>
        <v>2020</v>
      </c>
      <c r="G775">
        <f t="shared" si="38"/>
        <v>2021</v>
      </c>
      <c r="H775">
        <f t="shared" si="36"/>
        <v>1</v>
      </c>
    </row>
    <row r="776" spans="1:8" x14ac:dyDescent="0.25">
      <c r="A776" t="s">
        <v>2643</v>
      </c>
      <c r="B776" s="1">
        <v>45284</v>
      </c>
      <c r="C776" s="1">
        <v>45347</v>
      </c>
      <c r="D776" s="1">
        <v>45441</v>
      </c>
      <c r="E776">
        <v>-20469.88</v>
      </c>
      <c r="F776">
        <f t="shared" si="37"/>
        <v>2023</v>
      </c>
      <c r="G776">
        <f t="shared" si="38"/>
        <v>2024</v>
      </c>
      <c r="H776">
        <f t="shared" si="36"/>
        <v>1</v>
      </c>
    </row>
    <row r="777" spans="1:8" x14ac:dyDescent="0.25">
      <c r="A777" t="s">
        <v>2644</v>
      </c>
      <c r="B777" s="1">
        <v>45646</v>
      </c>
      <c r="C777" s="1">
        <v>45677</v>
      </c>
      <c r="D777" s="1">
        <v>45755</v>
      </c>
      <c r="E777">
        <v>61610.41</v>
      </c>
      <c r="F777">
        <f t="shared" si="37"/>
        <v>2024</v>
      </c>
      <c r="G777">
        <f t="shared" si="38"/>
        <v>2025</v>
      </c>
      <c r="H777">
        <f t="shared" si="36"/>
        <v>1</v>
      </c>
    </row>
    <row r="778" spans="1:8" x14ac:dyDescent="0.25">
      <c r="A778" t="s">
        <v>2378</v>
      </c>
      <c r="B778" s="1">
        <v>45385</v>
      </c>
      <c r="C778" s="1">
        <v>45467</v>
      </c>
      <c r="D778" s="1">
        <v>45655</v>
      </c>
      <c r="E778">
        <v>64130.37</v>
      </c>
      <c r="F778">
        <f t="shared" si="37"/>
        <v>2024</v>
      </c>
      <c r="G778">
        <f t="shared" si="38"/>
        <v>2024</v>
      </c>
      <c r="H778">
        <f t="shared" si="36"/>
        <v>0</v>
      </c>
    </row>
    <row r="779" spans="1:8" x14ac:dyDescent="0.25">
      <c r="A779" t="s">
        <v>2645</v>
      </c>
      <c r="B779" s="1">
        <v>45508</v>
      </c>
      <c r="C779" s="1">
        <v>45547</v>
      </c>
      <c r="D779" s="1">
        <v>45764</v>
      </c>
      <c r="E779">
        <v>66258.41</v>
      </c>
      <c r="F779">
        <f t="shared" si="37"/>
        <v>2024</v>
      </c>
      <c r="G779">
        <f t="shared" si="38"/>
        <v>2025</v>
      </c>
      <c r="H779">
        <f t="shared" si="36"/>
        <v>1</v>
      </c>
    </row>
    <row r="780" spans="1:8" x14ac:dyDescent="0.25">
      <c r="A780" t="s">
        <v>2623</v>
      </c>
      <c r="B780" s="1">
        <v>45051</v>
      </c>
      <c r="C780" s="1">
        <v>45137</v>
      </c>
      <c r="D780" s="1">
        <v>45709</v>
      </c>
      <c r="E780">
        <v>15840.42</v>
      </c>
      <c r="F780">
        <f t="shared" si="37"/>
        <v>2023</v>
      </c>
      <c r="G780">
        <f t="shared" si="38"/>
        <v>2025</v>
      </c>
      <c r="H780">
        <f t="shared" si="36"/>
        <v>2</v>
      </c>
    </row>
    <row r="781" spans="1:8" x14ac:dyDescent="0.25">
      <c r="A781" t="s">
        <v>2646</v>
      </c>
      <c r="B781" s="1">
        <v>44403</v>
      </c>
      <c r="C781" s="1">
        <v>44461</v>
      </c>
      <c r="D781" s="1">
        <v>44491</v>
      </c>
      <c r="E781">
        <v>7409.3</v>
      </c>
      <c r="F781">
        <f t="shared" si="37"/>
        <v>2021</v>
      </c>
      <c r="G781">
        <f t="shared" si="38"/>
        <v>2021</v>
      </c>
      <c r="H781">
        <f t="shared" si="36"/>
        <v>0</v>
      </c>
    </row>
    <row r="782" spans="1:8" x14ac:dyDescent="0.25">
      <c r="A782" t="s">
        <v>2560</v>
      </c>
      <c r="B782" s="1">
        <v>44992</v>
      </c>
      <c r="C782" s="1">
        <v>45065</v>
      </c>
      <c r="D782" s="1">
        <v>45532</v>
      </c>
      <c r="E782">
        <v>34281.47</v>
      </c>
      <c r="F782">
        <f t="shared" si="37"/>
        <v>2023</v>
      </c>
      <c r="G782">
        <f t="shared" si="38"/>
        <v>2024</v>
      </c>
      <c r="H782">
        <f t="shared" si="36"/>
        <v>1</v>
      </c>
    </row>
    <row r="783" spans="1:8" x14ac:dyDescent="0.25">
      <c r="A783" t="s">
        <v>2647</v>
      </c>
      <c r="B783" s="1">
        <v>45308</v>
      </c>
      <c r="C783" s="1">
        <v>45378</v>
      </c>
      <c r="D783" s="1">
        <v>45692</v>
      </c>
      <c r="E783">
        <v>44981.04</v>
      </c>
      <c r="F783">
        <f t="shared" si="37"/>
        <v>2024</v>
      </c>
      <c r="G783">
        <f t="shared" si="38"/>
        <v>2025</v>
      </c>
      <c r="H783">
        <f t="shared" si="36"/>
        <v>1</v>
      </c>
    </row>
    <row r="784" spans="1:8" x14ac:dyDescent="0.25">
      <c r="A784" t="s">
        <v>2648</v>
      </c>
      <c r="B784" s="1">
        <v>43836</v>
      </c>
      <c r="D784" s="1">
        <v>44006</v>
      </c>
      <c r="E784">
        <v>-18049.22</v>
      </c>
      <c r="F784">
        <f t="shared" si="37"/>
        <v>2020</v>
      </c>
      <c r="G784">
        <f t="shared" si="38"/>
        <v>2020</v>
      </c>
      <c r="H784">
        <f t="shared" si="36"/>
        <v>0</v>
      </c>
    </row>
    <row r="785" spans="1:8" x14ac:dyDescent="0.25">
      <c r="A785" t="s">
        <v>2649</v>
      </c>
      <c r="B785" s="1">
        <v>44624</v>
      </c>
      <c r="C785" s="1">
        <v>44706</v>
      </c>
      <c r="D785" s="1">
        <v>44863</v>
      </c>
      <c r="E785">
        <v>26750.5</v>
      </c>
      <c r="F785">
        <f t="shared" si="37"/>
        <v>2022</v>
      </c>
      <c r="G785">
        <f t="shared" si="38"/>
        <v>2022</v>
      </c>
      <c r="H785">
        <f t="shared" si="36"/>
        <v>0</v>
      </c>
    </row>
    <row r="786" spans="1:8" x14ac:dyDescent="0.25">
      <c r="A786" t="s">
        <v>2650</v>
      </c>
      <c r="B786" s="1">
        <v>45105</v>
      </c>
      <c r="C786" s="1">
        <v>45140</v>
      </c>
      <c r="D786" s="1">
        <v>45289</v>
      </c>
      <c r="E786">
        <v>23264.32</v>
      </c>
      <c r="F786">
        <f t="shared" si="37"/>
        <v>2023</v>
      </c>
      <c r="G786">
        <f t="shared" si="38"/>
        <v>2023</v>
      </c>
      <c r="H786">
        <f t="shared" si="36"/>
        <v>0</v>
      </c>
    </row>
    <row r="787" spans="1:8" x14ac:dyDescent="0.25">
      <c r="A787" t="s">
        <v>2651</v>
      </c>
      <c r="B787" s="1">
        <v>44171</v>
      </c>
      <c r="C787" s="1">
        <v>44245</v>
      </c>
      <c r="D787" s="1">
        <v>44461</v>
      </c>
      <c r="E787">
        <v>44757.96</v>
      </c>
      <c r="F787">
        <f t="shared" si="37"/>
        <v>2020</v>
      </c>
      <c r="G787">
        <f t="shared" si="38"/>
        <v>2021</v>
      </c>
      <c r="H787">
        <f t="shared" si="36"/>
        <v>1</v>
      </c>
    </row>
    <row r="788" spans="1:8" x14ac:dyDescent="0.25">
      <c r="A788" t="s">
        <v>2239</v>
      </c>
      <c r="B788" s="1">
        <v>45588</v>
      </c>
      <c r="D788" s="1">
        <v>45711</v>
      </c>
      <c r="E788">
        <v>56508.39</v>
      </c>
      <c r="F788">
        <f t="shared" si="37"/>
        <v>2024</v>
      </c>
      <c r="G788">
        <f t="shared" si="38"/>
        <v>2025</v>
      </c>
      <c r="H788">
        <f t="shared" si="36"/>
        <v>1</v>
      </c>
    </row>
    <row r="789" spans="1:8" x14ac:dyDescent="0.25">
      <c r="A789" t="s">
        <v>2319</v>
      </c>
      <c r="B789" s="1">
        <v>44934</v>
      </c>
      <c r="C789" s="1">
        <v>45004</v>
      </c>
      <c r="D789" s="1">
        <v>45201</v>
      </c>
      <c r="E789">
        <v>73773.09</v>
      </c>
      <c r="F789">
        <f t="shared" si="37"/>
        <v>2023</v>
      </c>
      <c r="G789">
        <f t="shared" si="38"/>
        <v>2023</v>
      </c>
      <c r="H789">
        <f t="shared" si="36"/>
        <v>0</v>
      </c>
    </row>
    <row r="790" spans="1:8" x14ac:dyDescent="0.25">
      <c r="A790" t="s">
        <v>2504</v>
      </c>
      <c r="B790" s="1">
        <v>44648</v>
      </c>
      <c r="D790" s="1">
        <v>45021</v>
      </c>
      <c r="E790">
        <v>27727.51</v>
      </c>
      <c r="F790">
        <f t="shared" si="37"/>
        <v>2022</v>
      </c>
      <c r="G790">
        <f t="shared" si="38"/>
        <v>2023</v>
      </c>
      <c r="H790">
        <f t="shared" si="36"/>
        <v>1</v>
      </c>
    </row>
    <row r="791" spans="1:8" x14ac:dyDescent="0.25">
      <c r="A791" t="s">
        <v>2624</v>
      </c>
      <c r="B791" s="1">
        <v>45506</v>
      </c>
      <c r="C791" s="1">
        <v>45509</v>
      </c>
      <c r="D791" s="1">
        <v>45532</v>
      </c>
      <c r="E791">
        <v>34477.120000000003</v>
      </c>
      <c r="F791">
        <f t="shared" si="37"/>
        <v>2024</v>
      </c>
      <c r="G791">
        <f t="shared" si="38"/>
        <v>2024</v>
      </c>
      <c r="H791">
        <f t="shared" si="36"/>
        <v>0</v>
      </c>
    </row>
    <row r="792" spans="1:8" x14ac:dyDescent="0.25">
      <c r="A792" t="s">
        <v>2652</v>
      </c>
      <c r="B792" s="1">
        <v>44266</v>
      </c>
      <c r="C792" s="1">
        <v>44342</v>
      </c>
      <c r="D792" s="1">
        <v>44556</v>
      </c>
      <c r="E792">
        <v>8477.92</v>
      </c>
      <c r="F792">
        <f t="shared" si="37"/>
        <v>2021</v>
      </c>
      <c r="G792">
        <f t="shared" si="38"/>
        <v>2021</v>
      </c>
      <c r="H792">
        <f t="shared" si="36"/>
        <v>0</v>
      </c>
    </row>
    <row r="793" spans="1:8" x14ac:dyDescent="0.25">
      <c r="A793" t="s">
        <v>2431</v>
      </c>
      <c r="B793" s="1">
        <v>45349</v>
      </c>
      <c r="C793" s="1">
        <v>45397</v>
      </c>
      <c r="D793" s="1">
        <v>45528</v>
      </c>
      <c r="E793">
        <v>13626.43</v>
      </c>
      <c r="F793">
        <f t="shared" si="37"/>
        <v>2024</v>
      </c>
      <c r="G793">
        <f t="shared" si="38"/>
        <v>2024</v>
      </c>
      <c r="H793">
        <f t="shared" si="36"/>
        <v>0</v>
      </c>
    </row>
    <row r="794" spans="1:8" x14ac:dyDescent="0.25">
      <c r="A794" t="s">
        <v>2436</v>
      </c>
      <c r="B794" s="1">
        <v>44184</v>
      </c>
      <c r="C794" s="1">
        <v>44223</v>
      </c>
      <c r="D794" s="1">
        <v>44378</v>
      </c>
      <c r="E794">
        <v>73215.5</v>
      </c>
      <c r="F794">
        <f t="shared" si="37"/>
        <v>2020</v>
      </c>
      <c r="G794">
        <f t="shared" si="38"/>
        <v>2021</v>
      </c>
      <c r="H794">
        <f t="shared" si="36"/>
        <v>1</v>
      </c>
    </row>
    <row r="795" spans="1:8" x14ac:dyDescent="0.25">
      <c r="A795" t="s">
        <v>2653</v>
      </c>
      <c r="B795" s="1">
        <v>44386</v>
      </c>
      <c r="C795" s="1">
        <v>44433</v>
      </c>
      <c r="D795" s="1">
        <v>44537</v>
      </c>
      <c r="E795">
        <v>10435.01</v>
      </c>
      <c r="F795">
        <f t="shared" si="37"/>
        <v>2021</v>
      </c>
      <c r="G795">
        <f t="shared" si="38"/>
        <v>2021</v>
      </c>
      <c r="H795">
        <f t="shared" si="36"/>
        <v>0</v>
      </c>
    </row>
    <row r="796" spans="1:8" x14ac:dyDescent="0.25">
      <c r="A796" t="s">
        <v>2289</v>
      </c>
      <c r="B796" s="1">
        <v>45421</v>
      </c>
      <c r="C796" s="1">
        <v>45486</v>
      </c>
      <c r="D796" s="1">
        <v>45778</v>
      </c>
      <c r="E796">
        <v>-22880.69</v>
      </c>
      <c r="F796">
        <f t="shared" si="37"/>
        <v>2024</v>
      </c>
      <c r="G796">
        <f t="shared" si="38"/>
        <v>2025</v>
      </c>
      <c r="H796">
        <f t="shared" si="36"/>
        <v>1</v>
      </c>
    </row>
    <row r="797" spans="1:8" x14ac:dyDescent="0.25">
      <c r="A797" t="s">
        <v>2654</v>
      </c>
      <c r="B797" s="1">
        <v>45406</v>
      </c>
      <c r="C797" s="1">
        <v>45486</v>
      </c>
      <c r="D797" s="1">
        <v>45612</v>
      </c>
      <c r="E797">
        <v>12420.85</v>
      </c>
      <c r="F797">
        <f t="shared" si="37"/>
        <v>2024</v>
      </c>
      <c r="G797">
        <f t="shared" si="38"/>
        <v>2024</v>
      </c>
      <c r="H797">
        <f t="shared" si="36"/>
        <v>0</v>
      </c>
    </row>
    <row r="798" spans="1:8" x14ac:dyDescent="0.25">
      <c r="A798" t="s">
        <v>2655</v>
      </c>
      <c r="B798" s="1">
        <v>44310</v>
      </c>
      <c r="C798" s="1">
        <v>44326</v>
      </c>
      <c r="D798" s="1">
        <v>44577</v>
      </c>
      <c r="E798">
        <v>14774.02</v>
      </c>
      <c r="F798">
        <f t="shared" si="37"/>
        <v>2021</v>
      </c>
      <c r="G798">
        <f t="shared" si="38"/>
        <v>2022</v>
      </c>
      <c r="H798">
        <f t="shared" si="36"/>
        <v>1</v>
      </c>
    </row>
    <row r="799" spans="1:8" x14ac:dyDescent="0.25">
      <c r="A799" t="s">
        <v>2441</v>
      </c>
      <c r="B799" s="1">
        <v>45211</v>
      </c>
      <c r="C799" s="1">
        <v>45291</v>
      </c>
      <c r="D799" s="1">
        <v>45615</v>
      </c>
      <c r="E799">
        <v>-1634.73</v>
      </c>
      <c r="F799">
        <f t="shared" si="37"/>
        <v>2023</v>
      </c>
      <c r="G799">
        <f t="shared" si="38"/>
        <v>2024</v>
      </c>
      <c r="H799">
        <f t="shared" si="36"/>
        <v>1</v>
      </c>
    </row>
    <row r="800" spans="1:8" x14ac:dyDescent="0.25">
      <c r="A800" t="s">
        <v>2532</v>
      </c>
      <c r="B800" s="1">
        <v>45186</v>
      </c>
      <c r="C800" s="1">
        <v>45209</v>
      </c>
      <c r="D800" s="1">
        <v>45541</v>
      </c>
      <c r="E800">
        <v>66117.899999999994</v>
      </c>
      <c r="F800">
        <f t="shared" si="37"/>
        <v>2023</v>
      </c>
      <c r="G800">
        <f t="shared" si="38"/>
        <v>2024</v>
      </c>
      <c r="H800">
        <f t="shared" si="36"/>
        <v>1</v>
      </c>
    </row>
    <row r="801" spans="1:8" x14ac:dyDescent="0.25">
      <c r="A801" t="s">
        <v>2638</v>
      </c>
      <c r="B801" s="1">
        <v>45204</v>
      </c>
      <c r="C801" s="1">
        <v>45206</v>
      </c>
      <c r="D801" s="1">
        <v>45409</v>
      </c>
      <c r="E801">
        <v>43717.07</v>
      </c>
      <c r="F801">
        <f t="shared" si="37"/>
        <v>2023</v>
      </c>
      <c r="G801">
        <f t="shared" si="38"/>
        <v>2024</v>
      </c>
      <c r="H801">
        <f t="shared" si="36"/>
        <v>1</v>
      </c>
    </row>
    <row r="802" spans="1:8" x14ac:dyDescent="0.25">
      <c r="A802" t="s">
        <v>2656</v>
      </c>
      <c r="B802" s="1">
        <v>44607</v>
      </c>
      <c r="C802" s="1">
        <v>44695</v>
      </c>
      <c r="D802" s="1">
        <v>44824</v>
      </c>
      <c r="E802">
        <v>46262.06</v>
      </c>
      <c r="F802">
        <f t="shared" si="37"/>
        <v>2022</v>
      </c>
      <c r="G802">
        <f t="shared" si="38"/>
        <v>2022</v>
      </c>
      <c r="H802">
        <f t="shared" si="36"/>
        <v>0</v>
      </c>
    </row>
    <row r="803" spans="1:8" x14ac:dyDescent="0.25">
      <c r="A803" t="s">
        <v>2657</v>
      </c>
      <c r="B803" s="1">
        <v>44084</v>
      </c>
      <c r="C803" s="1">
        <v>44156</v>
      </c>
      <c r="D803" s="1">
        <v>44314</v>
      </c>
      <c r="E803">
        <v>80778.44</v>
      </c>
      <c r="F803">
        <f t="shared" si="37"/>
        <v>2020</v>
      </c>
      <c r="G803">
        <f t="shared" si="38"/>
        <v>2021</v>
      </c>
      <c r="H803">
        <f t="shared" si="36"/>
        <v>1</v>
      </c>
    </row>
    <row r="804" spans="1:8" x14ac:dyDescent="0.25">
      <c r="A804" t="s">
        <v>2438</v>
      </c>
      <c r="B804" s="1">
        <v>44556</v>
      </c>
      <c r="C804" s="1">
        <v>44609</v>
      </c>
      <c r="D804" s="1">
        <v>44957</v>
      </c>
      <c r="E804">
        <v>21043.68</v>
      </c>
      <c r="F804">
        <f t="shared" si="37"/>
        <v>2021</v>
      </c>
      <c r="G804">
        <f t="shared" si="38"/>
        <v>2023</v>
      </c>
      <c r="H804">
        <f t="shared" si="36"/>
        <v>2</v>
      </c>
    </row>
    <row r="805" spans="1:8" x14ac:dyDescent="0.25">
      <c r="A805" t="s">
        <v>2658</v>
      </c>
      <c r="B805" s="1">
        <v>45073</v>
      </c>
      <c r="C805" s="1">
        <v>45085</v>
      </c>
      <c r="D805" s="1">
        <v>45262</v>
      </c>
      <c r="E805">
        <v>-6035.9</v>
      </c>
      <c r="F805">
        <f t="shared" si="37"/>
        <v>2023</v>
      </c>
      <c r="G805">
        <f t="shared" si="38"/>
        <v>2023</v>
      </c>
      <c r="H805">
        <f t="shared" si="36"/>
        <v>0</v>
      </c>
    </row>
    <row r="806" spans="1:8" x14ac:dyDescent="0.25">
      <c r="A806" t="s">
        <v>2659</v>
      </c>
      <c r="B806" s="1">
        <v>45000</v>
      </c>
      <c r="C806" s="1">
        <v>45085</v>
      </c>
      <c r="D806" s="1">
        <v>45211</v>
      </c>
      <c r="E806">
        <v>12371.38</v>
      </c>
      <c r="F806">
        <f t="shared" si="37"/>
        <v>2023</v>
      </c>
      <c r="G806">
        <f t="shared" si="38"/>
        <v>2023</v>
      </c>
      <c r="H806">
        <f t="shared" si="36"/>
        <v>0</v>
      </c>
    </row>
    <row r="807" spans="1:8" x14ac:dyDescent="0.25">
      <c r="A807" t="s">
        <v>2388</v>
      </c>
      <c r="B807" s="1">
        <v>43935</v>
      </c>
      <c r="C807" s="1">
        <v>43951</v>
      </c>
      <c r="D807" s="1">
        <v>44162</v>
      </c>
      <c r="E807">
        <v>84570.92</v>
      </c>
      <c r="F807">
        <f t="shared" si="37"/>
        <v>2020</v>
      </c>
      <c r="G807">
        <f t="shared" si="38"/>
        <v>2020</v>
      </c>
      <c r="H807">
        <f t="shared" si="36"/>
        <v>0</v>
      </c>
    </row>
    <row r="808" spans="1:8" x14ac:dyDescent="0.25">
      <c r="A808" t="s">
        <v>2660</v>
      </c>
      <c r="B808" s="1">
        <v>44522</v>
      </c>
      <c r="C808" s="1">
        <v>44559</v>
      </c>
      <c r="D808" s="1">
        <v>44746</v>
      </c>
      <c r="E808">
        <v>72714.880000000005</v>
      </c>
      <c r="F808">
        <f t="shared" si="37"/>
        <v>2021</v>
      </c>
      <c r="G808">
        <f t="shared" si="38"/>
        <v>2022</v>
      </c>
      <c r="H808">
        <f t="shared" si="36"/>
        <v>1</v>
      </c>
    </row>
    <row r="809" spans="1:8" x14ac:dyDescent="0.25">
      <c r="A809" t="s">
        <v>2661</v>
      </c>
      <c r="B809" s="1">
        <v>44341</v>
      </c>
      <c r="D809" s="1">
        <v>44415</v>
      </c>
      <c r="E809">
        <v>77412.12</v>
      </c>
      <c r="F809">
        <f t="shared" si="37"/>
        <v>2021</v>
      </c>
      <c r="G809">
        <f t="shared" si="38"/>
        <v>2021</v>
      </c>
      <c r="H809">
        <f t="shared" si="36"/>
        <v>0</v>
      </c>
    </row>
    <row r="810" spans="1:8" x14ac:dyDescent="0.25">
      <c r="A810" t="s">
        <v>2662</v>
      </c>
      <c r="B810" s="1">
        <v>45513</v>
      </c>
      <c r="C810" s="1">
        <v>45550</v>
      </c>
      <c r="D810" s="1">
        <v>45661</v>
      </c>
      <c r="E810">
        <v>-2990.59</v>
      </c>
      <c r="F810">
        <f t="shared" si="37"/>
        <v>2024</v>
      </c>
      <c r="G810">
        <f t="shared" si="38"/>
        <v>2025</v>
      </c>
      <c r="H810">
        <f t="shared" si="36"/>
        <v>1</v>
      </c>
    </row>
    <row r="811" spans="1:8" x14ac:dyDescent="0.25">
      <c r="A811" t="s">
        <v>2663</v>
      </c>
      <c r="B811" s="1">
        <v>45232</v>
      </c>
      <c r="C811" s="1">
        <v>45275</v>
      </c>
      <c r="D811" s="1">
        <v>45362</v>
      </c>
      <c r="E811">
        <v>-4729.47</v>
      </c>
      <c r="F811">
        <f t="shared" si="37"/>
        <v>2023</v>
      </c>
      <c r="G811">
        <f t="shared" si="38"/>
        <v>2024</v>
      </c>
      <c r="H811">
        <f t="shared" si="36"/>
        <v>1</v>
      </c>
    </row>
    <row r="812" spans="1:8" x14ac:dyDescent="0.25">
      <c r="A812" t="s">
        <v>2625</v>
      </c>
      <c r="B812" s="1">
        <v>44997</v>
      </c>
      <c r="C812" s="1">
        <v>45034</v>
      </c>
      <c r="D812" s="1">
        <v>45370</v>
      </c>
      <c r="E812">
        <v>55486</v>
      </c>
      <c r="F812">
        <f t="shared" si="37"/>
        <v>2023</v>
      </c>
      <c r="G812">
        <f t="shared" si="38"/>
        <v>2024</v>
      </c>
      <c r="H812">
        <f t="shared" si="36"/>
        <v>1</v>
      </c>
    </row>
    <row r="813" spans="1:8" x14ac:dyDescent="0.25">
      <c r="A813" t="s">
        <v>2556</v>
      </c>
      <c r="B813" s="1">
        <v>45090</v>
      </c>
      <c r="C813" s="1">
        <v>45156</v>
      </c>
      <c r="D813" s="1">
        <v>45547</v>
      </c>
      <c r="E813">
        <v>4908.13</v>
      </c>
      <c r="F813">
        <f t="shared" si="37"/>
        <v>2023</v>
      </c>
      <c r="G813">
        <f t="shared" si="38"/>
        <v>2024</v>
      </c>
      <c r="H813">
        <f t="shared" si="36"/>
        <v>1</v>
      </c>
    </row>
    <row r="814" spans="1:8" x14ac:dyDescent="0.25">
      <c r="A814" t="s">
        <v>2664</v>
      </c>
      <c r="B814" s="1">
        <v>45203</v>
      </c>
      <c r="C814" s="1">
        <v>45246</v>
      </c>
      <c r="D814" s="1">
        <v>45386</v>
      </c>
      <c r="E814">
        <v>12270.09</v>
      </c>
      <c r="F814">
        <f t="shared" si="37"/>
        <v>2023</v>
      </c>
      <c r="G814">
        <f t="shared" si="38"/>
        <v>2024</v>
      </c>
      <c r="H814">
        <f t="shared" si="36"/>
        <v>1</v>
      </c>
    </row>
    <row r="815" spans="1:8" x14ac:dyDescent="0.25">
      <c r="A815" t="s">
        <v>2200</v>
      </c>
      <c r="B815" s="1">
        <v>44445</v>
      </c>
      <c r="C815" s="1">
        <v>44487</v>
      </c>
      <c r="D815" s="1">
        <v>44604</v>
      </c>
      <c r="E815">
        <v>38328.78</v>
      </c>
      <c r="F815">
        <f t="shared" si="37"/>
        <v>2021</v>
      </c>
      <c r="G815">
        <f t="shared" si="38"/>
        <v>2022</v>
      </c>
      <c r="H815">
        <f t="shared" si="36"/>
        <v>1</v>
      </c>
    </row>
    <row r="816" spans="1:8" x14ac:dyDescent="0.25">
      <c r="A816" t="s">
        <v>2529</v>
      </c>
      <c r="B816" s="1">
        <v>44499</v>
      </c>
      <c r="C816" s="1">
        <v>44532</v>
      </c>
      <c r="D816" s="1">
        <v>44690</v>
      </c>
      <c r="E816">
        <v>34691.19</v>
      </c>
      <c r="F816">
        <f t="shared" si="37"/>
        <v>2021</v>
      </c>
      <c r="G816">
        <f t="shared" si="38"/>
        <v>2022</v>
      </c>
      <c r="H816">
        <f t="shared" si="36"/>
        <v>1</v>
      </c>
    </row>
    <row r="817" spans="1:8" x14ac:dyDescent="0.25">
      <c r="A817" t="s">
        <v>2175</v>
      </c>
      <c r="B817" s="1">
        <v>43913</v>
      </c>
      <c r="C817" s="1">
        <v>43927</v>
      </c>
      <c r="D817" s="1">
        <v>44121</v>
      </c>
      <c r="E817">
        <v>-20741.68</v>
      </c>
      <c r="F817">
        <f t="shared" si="37"/>
        <v>2020</v>
      </c>
      <c r="G817">
        <f t="shared" si="38"/>
        <v>2020</v>
      </c>
      <c r="H817">
        <f t="shared" si="36"/>
        <v>0</v>
      </c>
    </row>
    <row r="818" spans="1:8" x14ac:dyDescent="0.25">
      <c r="A818" t="s">
        <v>2665</v>
      </c>
      <c r="B818" s="1">
        <v>44606</v>
      </c>
      <c r="C818" s="1">
        <v>44636</v>
      </c>
      <c r="D818" s="1">
        <v>44800</v>
      </c>
      <c r="E818">
        <v>3829.82</v>
      </c>
      <c r="F818">
        <f t="shared" si="37"/>
        <v>2022</v>
      </c>
      <c r="G818">
        <f t="shared" si="38"/>
        <v>2022</v>
      </c>
      <c r="H818">
        <f t="shared" si="36"/>
        <v>0</v>
      </c>
    </row>
    <row r="819" spans="1:8" x14ac:dyDescent="0.25">
      <c r="A819" t="s">
        <v>2193</v>
      </c>
      <c r="B819" s="1">
        <v>44452</v>
      </c>
      <c r="C819" s="1">
        <v>44510</v>
      </c>
      <c r="D819" s="1">
        <v>44674</v>
      </c>
      <c r="E819">
        <v>81169.52</v>
      </c>
      <c r="F819">
        <f t="shared" si="37"/>
        <v>2021</v>
      </c>
      <c r="G819">
        <f t="shared" si="38"/>
        <v>2022</v>
      </c>
      <c r="H819">
        <f t="shared" si="36"/>
        <v>1</v>
      </c>
    </row>
    <row r="820" spans="1:8" x14ac:dyDescent="0.25">
      <c r="A820" t="s">
        <v>2413</v>
      </c>
      <c r="B820" s="1">
        <v>44936</v>
      </c>
      <c r="C820" s="1">
        <v>44968</v>
      </c>
      <c r="D820" s="1">
        <v>45071</v>
      </c>
      <c r="E820">
        <v>17602.32</v>
      </c>
      <c r="F820">
        <f t="shared" si="37"/>
        <v>2023</v>
      </c>
      <c r="G820">
        <f t="shared" si="38"/>
        <v>2023</v>
      </c>
      <c r="H820">
        <f t="shared" si="36"/>
        <v>0</v>
      </c>
    </row>
    <row r="821" spans="1:8" x14ac:dyDescent="0.25">
      <c r="A821" t="s">
        <v>2159</v>
      </c>
      <c r="B821" s="1">
        <v>43851</v>
      </c>
      <c r="C821" s="1">
        <v>43901</v>
      </c>
      <c r="D821" s="1">
        <v>43804</v>
      </c>
      <c r="E821">
        <v>30151.279999999999</v>
      </c>
      <c r="F821">
        <f t="shared" si="37"/>
        <v>2020</v>
      </c>
      <c r="G821">
        <f t="shared" si="38"/>
        <v>2019</v>
      </c>
      <c r="H821">
        <f t="shared" si="36"/>
        <v>0</v>
      </c>
    </row>
    <row r="822" spans="1:8" x14ac:dyDescent="0.25">
      <c r="A822" t="s">
        <v>2666</v>
      </c>
      <c r="B822" s="1">
        <v>45081</v>
      </c>
      <c r="C822" s="1">
        <v>45154</v>
      </c>
      <c r="D822" s="1">
        <v>45322</v>
      </c>
      <c r="E822">
        <v>48406.86</v>
      </c>
      <c r="F822">
        <f t="shared" si="37"/>
        <v>2023</v>
      </c>
      <c r="G822">
        <f t="shared" si="38"/>
        <v>2024</v>
      </c>
      <c r="H822">
        <f t="shared" si="36"/>
        <v>1</v>
      </c>
    </row>
    <row r="823" spans="1:8" x14ac:dyDescent="0.25">
      <c r="A823" t="s">
        <v>2529</v>
      </c>
      <c r="B823" s="1">
        <v>44499</v>
      </c>
      <c r="C823" s="1">
        <v>44532</v>
      </c>
      <c r="D823" s="1">
        <v>44733</v>
      </c>
      <c r="E823">
        <v>-10746.76</v>
      </c>
      <c r="F823">
        <f t="shared" si="37"/>
        <v>2021</v>
      </c>
      <c r="G823">
        <f t="shared" si="38"/>
        <v>2022</v>
      </c>
      <c r="H823">
        <f t="shared" si="36"/>
        <v>1</v>
      </c>
    </row>
    <row r="824" spans="1:8" x14ac:dyDescent="0.25">
      <c r="A824" t="s">
        <v>2461</v>
      </c>
      <c r="B824" s="1">
        <v>45290</v>
      </c>
      <c r="D824" s="1">
        <v>45384</v>
      </c>
      <c r="E824">
        <v>5575.03</v>
      </c>
      <c r="F824">
        <f t="shared" si="37"/>
        <v>2023</v>
      </c>
      <c r="G824">
        <f t="shared" si="38"/>
        <v>2024</v>
      </c>
      <c r="H824">
        <f t="shared" si="36"/>
        <v>1</v>
      </c>
    </row>
    <row r="825" spans="1:8" x14ac:dyDescent="0.25">
      <c r="A825" t="s">
        <v>2667</v>
      </c>
      <c r="B825" s="1">
        <v>44126</v>
      </c>
      <c r="C825" s="1">
        <v>44170</v>
      </c>
      <c r="D825" s="1">
        <v>44622</v>
      </c>
      <c r="E825">
        <v>35042.129999999997</v>
      </c>
      <c r="F825">
        <f t="shared" si="37"/>
        <v>2020</v>
      </c>
      <c r="G825">
        <f t="shared" si="38"/>
        <v>2022</v>
      </c>
      <c r="H825">
        <f t="shared" si="36"/>
        <v>2</v>
      </c>
    </row>
    <row r="826" spans="1:8" x14ac:dyDescent="0.25">
      <c r="A826" t="s">
        <v>2668</v>
      </c>
      <c r="B826" s="1">
        <v>45080</v>
      </c>
      <c r="C826" s="1">
        <v>45105</v>
      </c>
      <c r="D826" s="1">
        <v>45253</v>
      </c>
      <c r="E826">
        <v>-17120.330000000002</v>
      </c>
      <c r="F826">
        <f t="shared" si="37"/>
        <v>2023</v>
      </c>
      <c r="G826">
        <f t="shared" si="38"/>
        <v>2023</v>
      </c>
      <c r="H826">
        <f t="shared" si="36"/>
        <v>0</v>
      </c>
    </row>
    <row r="827" spans="1:8" x14ac:dyDescent="0.25">
      <c r="A827" t="s">
        <v>2502</v>
      </c>
      <c r="B827" s="1">
        <v>44071</v>
      </c>
      <c r="C827" s="1">
        <v>44153</v>
      </c>
      <c r="D827" s="1">
        <v>44304</v>
      </c>
      <c r="E827">
        <v>2866.09</v>
      </c>
      <c r="F827">
        <f t="shared" si="37"/>
        <v>2020</v>
      </c>
      <c r="G827">
        <f t="shared" si="38"/>
        <v>2021</v>
      </c>
      <c r="H827">
        <f t="shared" si="36"/>
        <v>1</v>
      </c>
    </row>
    <row r="828" spans="1:8" x14ac:dyDescent="0.25">
      <c r="A828" t="s">
        <v>2669</v>
      </c>
      <c r="B828" s="1">
        <v>45458</v>
      </c>
      <c r="C828" s="1">
        <v>45489</v>
      </c>
      <c r="D828" s="1">
        <v>45563</v>
      </c>
      <c r="E828">
        <v>3327.67</v>
      </c>
      <c r="F828">
        <f t="shared" si="37"/>
        <v>2024</v>
      </c>
      <c r="G828">
        <f t="shared" si="38"/>
        <v>2024</v>
      </c>
      <c r="H828">
        <f t="shared" si="36"/>
        <v>0</v>
      </c>
    </row>
    <row r="829" spans="1:8" x14ac:dyDescent="0.25">
      <c r="A829" t="s">
        <v>2670</v>
      </c>
      <c r="B829" s="1">
        <v>45115</v>
      </c>
      <c r="C829" s="1">
        <v>45156</v>
      </c>
      <c r="D829" s="1">
        <v>45459</v>
      </c>
      <c r="E829">
        <v>24435.38</v>
      </c>
      <c r="F829">
        <f t="shared" si="37"/>
        <v>2023</v>
      </c>
      <c r="G829">
        <f t="shared" si="38"/>
        <v>2024</v>
      </c>
      <c r="H829">
        <f t="shared" si="36"/>
        <v>1</v>
      </c>
    </row>
    <row r="830" spans="1:8" x14ac:dyDescent="0.25">
      <c r="A830" t="s">
        <v>2671</v>
      </c>
      <c r="B830" s="1">
        <v>45455</v>
      </c>
      <c r="C830" s="1">
        <v>45540</v>
      </c>
      <c r="D830" s="1">
        <v>45737</v>
      </c>
      <c r="E830">
        <v>29681.16</v>
      </c>
      <c r="F830">
        <f t="shared" si="37"/>
        <v>2024</v>
      </c>
      <c r="G830">
        <f t="shared" si="38"/>
        <v>2025</v>
      </c>
      <c r="H830">
        <f t="shared" si="36"/>
        <v>1</v>
      </c>
    </row>
    <row r="831" spans="1:8" x14ac:dyDescent="0.25">
      <c r="A831" t="s">
        <v>2506</v>
      </c>
      <c r="B831" s="1">
        <v>44441</v>
      </c>
      <c r="C831" s="1">
        <v>44476</v>
      </c>
      <c r="D831" s="1">
        <v>44673</v>
      </c>
      <c r="E831">
        <v>43257.56</v>
      </c>
      <c r="F831">
        <f t="shared" si="37"/>
        <v>2021</v>
      </c>
      <c r="G831">
        <f t="shared" si="38"/>
        <v>2022</v>
      </c>
      <c r="H831">
        <f t="shared" si="36"/>
        <v>1</v>
      </c>
    </row>
    <row r="832" spans="1:8" x14ac:dyDescent="0.25">
      <c r="A832" t="s">
        <v>2298</v>
      </c>
      <c r="B832" s="1">
        <v>45153</v>
      </c>
      <c r="C832" s="1">
        <v>45165</v>
      </c>
      <c r="D832" s="1">
        <v>45488</v>
      </c>
      <c r="E832">
        <v>36629.53</v>
      </c>
      <c r="F832">
        <f t="shared" si="37"/>
        <v>2023</v>
      </c>
      <c r="G832">
        <f t="shared" si="38"/>
        <v>2024</v>
      </c>
      <c r="H832">
        <f t="shared" si="36"/>
        <v>1</v>
      </c>
    </row>
    <row r="833" spans="1:8" x14ac:dyDescent="0.25">
      <c r="A833" t="s">
        <v>2328</v>
      </c>
      <c r="B833" s="1">
        <v>44606</v>
      </c>
      <c r="C833" s="1">
        <v>44676</v>
      </c>
      <c r="D833" s="1">
        <v>44932</v>
      </c>
      <c r="E833">
        <v>-10856.29</v>
      </c>
      <c r="F833">
        <f t="shared" si="37"/>
        <v>2022</v>
      </c>
      <c r="G833">
        <f t="shared" si="38"/>
        <v>2023</v>
      </c>
      <c r="H833">
        <f t="shared" si="36"/>
        <v>1</v>
      </c>
    </row>
    <row r="834" spans="1:8" x14ac:dyDescent="0.25">
      <c r="A834" t="s">
        <v>2672</v>
      </c>
      <c r="B834" s="1">
        <v>45510</v>
      </c>
      <c r="C834" s="1">
        <v>45588</v>
      </c>
      <c r="D834" s="1">
        <v>45718</v>
      </c>
      <c r="E834">
        <v>44218.29</v>
      </c>
      <c r="F834">
        <f t="shared" si="37"/>
        <v>2024</v>
      </c>
      <c r="G834">
        <f t="shared" si="38"/>
        <v>2025</v>
      </c>
      <c r="H834">
        <f t="shared" ref="H834:H897" si="39">MAX(0,G834-F834)</f>
        <v>1</v>
      </c>
    </row>
    <row r="835" spans="1:8" x14ac:dyDescent="0.25">
      <c r="A835" t="s">
        <v>2162</v>
      </c>
      <c r="B835" s="1">
        <v>44008</v>
      </c>
      <c r="C835" s="1">
        <v>44063</v>
      </c>
      <c r="D835" s="1">
        <v>44381</v>
      </c>
      <c r="E835">
        <v>33317.199999999997</v>
      </c>
      <c r="F835">
        <f t="shared" ref="F835:F898" si="40">YEAR(B835)</f>
        <v>2020</v>
      </c>
      <c r="G835">
        <f t="shared" ref="G835:G898" si="41">YEAR(D835)</f>
        <v>2021</v>
      </c>
      <c r="H835">
        <f t="shared" si="39"/>
        <v>1</v>
      </c>
    </row>
    <row r="836" spans="1:8" x14ac:dyDescent="0.25">
      <c r="A836" t="s">
        <v>2144</v>
      </c>
      <c r="B836" s="1">
        <v>43885</v>
      </c>
      <c r="C836" s="1">
        <v>43945</v>
      </c>
      <c r="D836" s="1">
        <v>43978</v>
      </c>
      <c r="E836">
        <v>61415.01</v>
      </c>
      <c r="F836">
        <f t="shared" si="40"/>
        <v>2020</v>
      </c>
      <c r="G836">
        <f t="shared" si="41"/>
        <v>2020</v>
      </c>
      <c r="H836">
        <f t="shared" si="39"/>
        <v>0</v>
      </c>
    </row>
    <row r="837" spans="1:8" x14ac:dyDescent="0.25">
      <c r="A837" t="s">
        <v>2288</v>
      </c>
      <c r="B837" s="1">
        <v>44699</v>
      </c>
      <c r="C837" s="1">
        <v>44717</v>
      </c>
      <c r="D837" s="1">
        <v>44934</v>
      </c>
      <c r="E837">
        <v>12180.4</v>
      </c>
      <c r="F837">
        <f t="shared" si="40"/>
        <v>2022</v>
      </c>
      <c r="G837">
        <f t="shared" si="41"/>
        <v>2023</v>
      </c>
      <c r="H837">
        <f t="shared" si="39"/>
        <v>1</v>
      </c>
    </row>
    <row r="838" spans="1:8" x14ac:dyDescent="0.25">
      <c r="A838" t="s">
        <v>2557</v>
      </c>
      <c r="B838" s="1">
        <v>44909</v>
      </c>
      <c r="C838" s="1">
        <v>44958</v>
      </c>
      <c r="D838" s="1">
        <v>45135</v>
      </c>
      <c r="E838">
        <v>82932.23</v>
      </c>
      <c r="F838">
        <f t="shared" si="40"/>
        <v>2022</v>
      </c>
      <c r="G838">
        <f t="shared" si="41"/>
        <v>2023</v>
      </c>
      <c r="H838">
        <f t="shared" si="39"/>
        <v>1</v>
      </c>
    </row>
    <row r="839" spans="1:8" x14ac:dyDescent="0.25">
      <c r="A839" t="s">
        <v>2477</v>
      </c>
      <c r="B839" s="1">
        <v>45089</v>
      </c>
      <c r="C839" s="1">
        <v>45149</v>
      </c>
      <c r="D839" s="1">
        <v>45349</v>
      </c>
      <c r="E839">
        <v>5458.9</v>
      </c>
      <c r="F839">
        <f t="shared" si="40"/>
        <v>2023</v>
      </c>
      <c r="G839">
        <f t="shared" si="41"/>
        <v>2024</v>
      </c>
      <c r="H839">
        <f t="shared" si="39"/>
        <v>1</v>
      </c>
    </row>
    <row r="840" spans="1:8" x14ac:dyDescent="0.25">
      <c r="A840" t="s">
        <v>2400</v>
      </c>
      <c r="B840" s="1">
        <v>43953</v>
      </c>
      <c r="C840" s="1">
        <v>43992</v>
      </c>
      <c r="D840" s="1">
        <v>44290</v>
      </c>
      <c r="E840">
        <v>54966.559999999998</v>
      </c>
      <c r="F840">
        <f t="shared" si="40"/>
        <v>2020</v>
      </c>
      <c r="G840">
        <f t="shared" si="41"/>
        <v>2021</v>
      </c>
      <c r="H840">
        <f t="shared" si="39"/>
        <v>1</v>
      </c>
    </row>
    <row r="841" spans="1:8" x14ac:dyDescent="0.25">
      <c r="A841" t="s">
        <v>2673</v>
      </c>
      <c r="B841" s="1">
        <v>44695</v>
      </c>
      <c r="C841" s="1">
        <v>44734</v>
      </c>
      <c r="D841" s="1">
        <v>45073</v>
      </c>
      <c r="E841">
        <v>68944.78</v>
      </c>
      <c r="F841">
        <f t="shared" si="40"/>
        <v>2022</v>
      </c>
      <c r="G841">
        <f t="shared" si="41"/>
        <v>2023</v>
      </c>
      <c r="H841">
        <f t="shared" si="39"/>
        <v>1</v>
      </c>
    </row>
    <row r="842" spans="1:8" x14ac:dyDescent="0.25">
      <c r="A842" t="s">
        <v>2276</v>
      </c>
      <c r="B842" s="1">
        <v>44825</v>
      </c>
      <c r="C842" s="1">
        <v>44902</v>
      </c>
      <c r="D842" s="1">
        <v>45439</v>
      </c>
      <c r="E842">
        <v>57755.99</v>
      </c>
      <c r="F842">
        <f t="shared" si="40"/>
        <v>2022</v>
      </c>
      <c r="G842">
        <f t="shared" si="41"/>
        <v>2024</v>
      </c>
      <c r="H842">
        <f t="shared" si="39"/>
        <v>2</v>
      </c>
    </row>
    <row r="843" spans="1:8" x14ac:dyDescent="0.25">
      <c r="A843" t="s">
        <v>2278</v>
      </c>
      <c r="B843" s="1">
        <v>45342</v>
      </c>
      <c r="C843" s="1">
        <v>45431</v>
      </c>
      <c r="D843" s="1">
        <v>45552</v>
      </c>
      <c r="E843">
        <v>61732.06</v>
      </c>
      <c r="F843">
        <f t="shared" si="40"/>
        <v>2024</v>
      </c>
      <c r="G843">
        <f t="shared" si="41"/>
        <v>2024</v>
      </c>
      <c r="H843">
        <f t="shared" si="39"/>
        <v>0</v>
      </c>
    </row>
    <row r="844" spans="1:8" x14ac:dyDescent="0.25">
      <c r="A844" t="s">
        <v>2143</v>
      </c>
      <c r="B844" s="1">
        <v>44577</v>
      </c>
      <c r="C844" s="1">
        <v>44587</v>
      </c>
      <c r="D844" s="1">
        <v>44722</v>
      </c>
      <c r="E844">
        <v>68893.649999999994</v>
      </c>
      <c r="F844">
        <f t="shared" si="40"/>
        <v>2022</v>
      </c>
      <c r="G844">
        <f t="shared" si="41"/>
        <v>2022</v>
      </c>
      <c r="H844">
        <f t="shared" si="39"/>
        <v>0</v>
      </c>
    </row>
    <row r="845" spans="1:8" x14ac:dyDescent="0.25">
      <c r="A845" t="s">
        <v>2583</v>
      </c>
      <c r="B845" s="1">
        <v>44988</v>
      </c>
      <c r="C845" s="1">
        <v>44989</v>
      </c>
      <c r="D845" s="1">
        <v>45225</v>
      </c>
      <c r="E845">
        <v>-10021.14</v>
      </c>
      <c r="F845">
        <f t="shared" si="40"/>
        <v>2023</v>
      </c>
      <c r="G845">
        <f t="shared" si="41"/>
        <v>2023</v>
      </c>
      <c r="H845">
        <f t="shared" si="39"/>
        <v>0</v>
      </c>
    </row>
    <row r="846" spans="1:8" x14ac:dyDescent="0.25">
      <c r="A846" t="s">
        <v>2238</v>
      </c>
      <c r="B846" s="1">
        <v>44917</v>
      </c>
      <c r="C846" s="1">
        <v>44996</v>
      </c>
      <c r="D846" s="1">
        <v>45108</v>
      </c>
      <c r="E846">
        <v>47832.56</v>
      </c>
      <c r="F846">
        <f t="shared" si="40"/>
        <v>2022</v>
      </c>
      <c r="G846">
        <f t="shared" si="41"/>
        <v>2023</v>
      </c>
      <c r="H846">
        <f t="shared" si="39"/>
        <v>1</v>
      </c>
    </row>
    <row r="847" spans="1:8" x14ac:dyDescent="0.25">
      <c r="A847" t="s">
        <v>2674</v>
      </c>
      <c r="B847" s="1">
        <v>44367</v>
      </c>
      <c r="C847" s="1">
        <v>44435</v>
      </c>
      <c r="D847" s="1">
        <v>44756</v>
      </c>
      <c r="E847">
        <v>15959.2</v>
      </c>
      <c r="F847">
        <f t="shared" si="40"/>
        <v>2021</v>
      </c>
      <c r="G847">
        <f t="shared" si="41"/>
        <v>2022</v>
      </c>
      <c r="H847">
        <f t="shared" si="39"/>
        <v>1</v>
      </c>
    </row>
    <row r="848" spans="1:8" x14ac:dyDescent="0.25">
      <c r="A848" t="s">
        <v>2233</v>
      </c>
      <c r="B848" s="1">
        <v>44243</v>
      </c>
      <c r="C848" s="1">
        <v>44301</v>
      </c>
      <c r="D848" s="1">
        <v>44747</v>
      </c>
      <c r="E848">
        <v>25550</v>
      </c>
      <c r="F848">
        <f t="shared" si="40"/>
        <v>2021</v>
      </c>
      <c r="G848">
        <f t="shared" si="41"/>
        <v>2022</v>
      </c>
      <c r="H848">
        <f t="shared" si="39"/>
        <v>1</v>
      </c>
    </row>
    <row r="849" spans="1:8" x14ac:dyDescent="0.25">
      <c r="A849" t="s">
        <v>2319</v>
      </c>
      <c r="B849" s="1">
        <v>44934</v>
      </c>
      <c r="C849" s="1">
        <v>45004</v>
      </c>
      <c r="D849" s="1">
        <v>45569</v>
      </c>
      <c r="E849">
        <v>35792.230000000003</v>
      </c>
      <c r="F849">
        <f t="shared" si="40"/>
        <v>2023</v>
      </c>
      <c r="G849">
        <f t="shared" si="41"/>
        <v>2024</v>
      </c>
      <c r="H849">
        <f t="shared" si="39"/>
        <v>1</v>
      </c>
    </row>
    <row r="850" spans="1:8" x14ac:dyDescent="0.25">
      <c r="A850" t="s">
        <v>2611</v>
      </c>
      <c r="B850" s="1">
        <v>44490</v>
      </c>
      <c r="C850" s="1">
        <v>44566</v>
      </c>
      <c r="D850" s="1">
        <v>44743</v>
      </c>
      <c r="E850">
        <v>-12721.11</v>
      </c>
      <c r="F850">
        <f t="shared" si="40"/>
        <v>2021</v>
      </c>
      <c r="G850">
        <f t="shared" si="41"/>
        <v>2022</v>
      </c>
      <c r="H850">
        <f t="shared" si="39"/>
        <v>1</v>
      </c>
    </row>
    <row r="851" spans="1:8" x14ac:dyDescent="0.25">
      <c r="A851" t="s">
        <v>2675</v>
      </c>
      <c r="B851" s="1">
        <v>45426</v>
      </c>
      <c r="C851" s="1">
        <v>45443</v>
      </c>
      <c r="D851" s="1">
        <v>45637</v>
      </c>
      <c r="E851">
        <v>16483.68</v>
      </c>
      <c r="F851">
        <f t="shared" si="40"/>
        <v>2024</v>
      </c>
      <c r="G851">
        <f t="shared" si="41"/>
        <v>2024</v>
      </c>
      <c r="H851">
        <f t="shared" si="39"/>
        <v>0</v>
      </c>
    </row>
    <row r="852" spans="1:8" x14ac:dyDescent="0.25">
      <c r="A852" t="s">
        <v>2667</v>
      </c>
      <c r="B852" s="1">
        <v>44126</v>
      </c>
      <c r="C852" s="1">
        <v>44170</v>
      </c>
      <c r="D852" s="1">
        <v>44403</v>
      </c>
      <c r="E852">
        <v>68441.179999999993</v>
      </c>
      <c r="F852">
        <f t="shared" si="40"/>
        <v>2020</v>
      </c>
      <c r="G852">
        <f t="shared" si="41"/>
        <v>2021</v>
      </c>
      <c r="H852">
        <f t="shared" si="39"/>
        <v>1</v>
      </c>
    </row>
    <row r="853" spans="1:8" x14ac:dyDescent="0.25">
      <c r="A853" t="s">
        <v>2676</v>
      </c>
      <c r="B853" s="1">
        <v>44679</v>
      </c>
      <c r="C853" s="1">
        <v>44716</v>
      </c>
      <c r="D853" s="1">
        <v>44770</v>
      </c>
      <c r="E853">
        <v>2484.89</v>
      </c>
      <c r="F853">
        <f t="shared" si="40"/>
        <v>2022</v>
      </c>
      <c r="G853">
        <f t="shared" si="41"/>
        <v>2022</v>
      </c>
      <c r="H853">
        <f t="shared" si="39"/>
        <v>0</v>
      </c>
    </row>
    <row r="854" spans="1:8" x14ac:dyDescent="0.25">
      <c r="A854" t="s">
        <v>2677</v>
      </c>
      <c r="B854" s="1">
        <v>45533</v>
      </c>
      <c r="C854" s="1">
        <v>45571</v>
      </c>
      <c r="D854" s="1">
        <v>45598</v>
      </c>
      <c r="E854">
        <v>31831.79</v>
      </c>
      <c r="F854">
        <f t="shared" si="40"/>
        <v>2024</v>
      </c>
      <c r="G854">
        <f t="shared" si="41"/>
        <v>2024</v>
      </c>
      <c r="H854">
        <f t="shared" si="39"/>
        <v>0</v>
      </c>
    </row>
    <row r="855" spans="1:8" x14ac:dyDescent="0.25">
      <c r="A855" t="s">
        <v>2247</v>
      </c>
      <c r="B855" s="1">
        <v>44098</v>
      </c>
      <c r="C855" s="1">
        <v>44132</v>
      </c>
      <c r="D855" s="1">
        <v>44279</v>
      </c>
      <c r="E855">
        <v>14075.97</v>
      </c>
      <c r="F855">
        <f t="shared" si="40"/>
        <v>2020</v>
      </c>
      <c r="G855">
        <f t="shared" si="41"/>
        <v>2021</v>
      </c>
      <c r="H855">
        <f t="shared" si="39"/>
        <v>1</v>
      </c>
    </row>
    <row r="856" spans="1:8" x14ac:dyDescent="0.25">
      <c r="A856" t="s">
        <v>2177</v>
      </c>
      <c r="B856" s="1">
        <v>44810</v>
      </c>
      <c r="C856" s="1">
        <v>44880</v>
      </c>
      <c r="D856" s="1">
        <v>44943</v>
      </c>
      <c r="E856">
        <v>43301.3</v>
      </c>
      <c r="F856">
        <f t="shared" si="40"/>
        <v>2022</v>
      </c>
      <c r="G856">
        <f t="shared" si="41"/>
        <v>2023</v>
      </c>
      <c r="H856">
        <f t="shared" si="39"/>
        <v>1</v>
      </c>
    </row>
    <row r="857" spans="1:8" x14ac:dyDescent="0.25">
      <c r="A857" t="s">
        <v>2620</v>
      </c>
      <c r="B857" s="1">
        <v>45297</v>
      </c>
      <c r="C857" s="1">
        <v>45383</v>
      </c>
      <c r="D857" s="1">
        <v>45615</v>
      </c>
      <c r="E857">
        <v>57772.62</v>
      </c>
      <c r="F857">
        <f t="shared" si="40"/>
        <v>2024</v>
      </c>
      <c r="G857">
        <f t="shared" si="41"/>
        <v>2024</v>
      </c>
      <c r="H857">
        <f t="shared" si="39"/>
        <v>0</v>
      </c>
    </row>
    <row r="858" spans="1:8" x14ac:dyDescent="0.25">
      <c r="A858" t="s">
        <v>2678</v>
      </c>
      <c r="B858" s="1">
        <v>44911</v>
      </c>
      <c r="C858" s="1">
        <v>44974</v>
      </c>
      <c r="D858" s="1">
        <v>45072</v>
      </c>
      <c r="E858">
        <v>-17766.05</v>
      </c>
      <c r="F858">
        <f t="shared" si="40"/>
        <v>2022</v>
      </c>
      <c r="G858">
        <f t="shared" si="41"/>
        <v>2023</v>
      </c>
      <c r="H858">
        <f t="shared" si="39"/>
        <v>1</v>
      </c>
    </row>
    <row r="859" spans="1:8" x14ac:dyDescent="0.25">
      <c r="A859" t="s">
        <v>2679</v>
      </c>
      <c r="B859" s="1">
        <v>44560</v>
      </c>
      <c r="C859" s="1">
        <v>44646</v>
      </c>
      <c r="D859" s="1">
        <v>44714</v>
      </c>
      <c r="E859">
        <v>55039.89</v>
      </c>
      <c r="F859">
        <f t="shared" si="40"/>
        <v>2021</v>
      </c>
      <c r="G859">
        <f t="shared" si="41"/>
        <v>2022</v>
      </c>
      <c r="H859">
        <f t="shared" si="39"/>
        <v>1</v>
      </c>
    </row>
    <row r="860" spans="1:8" x14ac:dyDescent="0.25">
      <c r="A860" t="s">
        <v>2680</v>
      </c>
      <c r="B860" s="1">
        <v>44849</v>
      </c>
      <c r="D860" s="1">
        <v>44991</v>
      </c>
      <c r="E860">
        <v>19217.16</v>
      </c>
      <c r="F860">
        <f t="shared" si="40"/>
        <v>2022</v>
      </c>
      <c r="G860">
        <f t="shared" si="41"/>
        <v>2023</v>
      </c>
      <c r="H860">
        <f t="shared" si="39"/>
        <v>1</v>
      </c>
    </row>
    <row r="861" spans="1:8" x14ac:dyDescent="0.25">
      <c r="A861" t="s">
        <v>2681</v>
      </c>
      <c r="B861" s="1">
        <v>43965</v>
      </c>
      <c r="C861" s="1">
        <v>44009</v>
      </c>
      <c r="D861" s="1">
        <v>44583</v>
      </c>
      <c r="E861">
        <v>69436.37</v>
      </c>
      <c r="F861">
        <f t="shared" si="40"/>
        <v>2020</v>
      </c>
      <c r="G861">
        <f t="shared" si="41"/>
        <v>2022</v>
      </c>
      <c r="H861">
        <f t="shared" si="39"/>
        <v>2</v>
      </c>
    </row>
    <row r="862" spans="1:8" x14ac:dyDescent="0.25">
      <c r="A862" t="s">
        <v>2542</v>
      </c>
      <c r="B862" s="1">
        <v>44605</v>
      </c>
      <c r="C862" s="1">
        <v>44631</v>
      </c>
      <c r="D862" s="1">
        <v>45066</v>
      </c>
      <c r="E862">
        <v>39792.9</v>
      </c>
      <c r="F862">
        <f t="shared" si="40"/>
        <v>2022</v>
      </c>
      <c r="G862">
        <f t="shared" si="41"/>
        <v>2023</v>
      </c>
      <c r="H862">
        <f t="shared" si="39"/>
        <v>1</v>
      </c>
    </row>
    <row r="863" spans="1:8" x14ac:dyDescent="0.25">
      <c r="A863" t="s">
        <v>2682</v>
      </c>
      <c r="B863" s="1">
        <v>44305</v>
      </c>
      <c r="C863" s="1">
        <v>44336</v>
      </c>
      <c r="D863" s="1">
        <v>44789</v>
      </c>
      <c r="E863">
        <v>58454.47</v>
      </c>
      <c r="F863">
        <f t="shared" si="40"/>
        <v>2021</v>
      </c>
      <c r="G863">
        <f t="shared" si="41"/>
        <v>2022</v>
      </c>
      <c r="H863">
        <f t="shared" si="39"/>
        <v>1</v>
      </c>
    </row>
    <row r="864" spans="1:8" x14ac:dyDescent="0.25">
      <c r="A864" t="s">
        <v>2175</v>
      </c>
      <c r="B864" s="1">
        <v>43913</v>
      </c>
      <c r="C864" s="1">
        <v>43927</v>
      </c>
      <c r="D864" s="1">
        <v>44503</v>
      </c>
      <c r="E864">
        <v>15894.17</v>
      </c>
      <c r="F864">
        <f t="shared" si="40"/>
        <v>2020</v>
      </c>
      <c r="G864">
        <f t="shared" si="41"/>
        <v>2021</v>
      </c>
      <c r="H864">
        <f t="shared" si="39"/>
        <v>1</v>
      </c>
    </row>
    <row r="865" spans="1:8" x14ac:dyDescent="0.25">
      <c r="A865" t="s">
        <v>2683</v>
      </c>
      <c r="B865" s="1">
        <v>43843</v>
      </c>
      <c r="C865" s="1">
        <v>43866</v>
      </c>
      <c r="D865" s="1">
        <v>43912</v>
      </c>
      <c r="E865">
        <v>9020.18</v>
      </c>
      <c r="F865">
        <f t="shared" si="40"/>
        <v>2020</v>
      </c>
      <c r="G865">
        <f t="shared" si="41"/>
        <v>2020</v>
      </c>
      <c r="H865">
        <f t="shared" si="39"/>
        <v>0</v>
      </c>
    </row>
    <row r="866" spans="1:8" x14ac:dyDescent="0.25">
      <c r="A866" t="s">
        <v>2684</v>
      </c>
      <c r="B866" s="1">
        <v>44319</v>
      </c>
      <c r="C866" s="1">
        <v>44386</v>
      </c>
      <c r="D866" s="1">
        <v>44534</v>
      </c>
      <c r="E866">
        <v>49004.23</v>
      </c>
      <c r="F866">
        <f t="shared" si="40"/>
        <v>2021</v>
      </c>
      <c r="G866">
        <f t="shared" si="41"/>
        <v>2021</v>
      </c>
      <c r="H866">
        <f t="shared" si="39"/>
        <v>0</v>
      </c>
    </row>
    <row r="867" spans="1:8" x14ac:dyDescent="0.25">
      <c r="A867" t="s">
        <v>2276</v>
      </c>
      <c r="B867" s="1">
        <v>44825</v>
      </c>
      <c r="C867" s="1">
        <v>44902</v>
      </c>
      <c r="D867" s="1">
        <v>45080</v>
      </c>
      <c r="E867">
        <v>84838.67</v>
      </c>
      <c r="F867">
        <f t="shared" si="40"/>
        <v>2022</v>
      </c>
      <c r="G867">
        <f t="shared" si="41"/>
        <v>2023</v>
      </c>
      <c r="H867">
        <f t="shared" si="39"/>
        <v>1</v>
      </c>
    </row>
    <row r="868" spans="1:8" x14ac:dyDescent="0.25">
      <c r="A868" t="s">
        <v>2583</v>
      </c>
      <c r="B868" s="1">
        <v>44988</v>
      </c>
      <c r="C868" s="1">
        <v>44989</v>
      </c>
      <c r="D868" s="1">
        <v>45418</v>
      </c>
      <c r="E868">
        <v>15058.91</v>
      </c>
      <c r="F868">
        <f t="shared" si="40"/>
        <v>2023</v>
      </c>
      <c r="G868">
        <f t="shared" si="41"/>
        <v>2024</v>
      </c>
      <c r="H868">
        <f t="shared" si="39"/>
        <v>1</v>
      </c>
    </row>
    <row r="869" spans="1:8" x14ac:dyDescent="0.25">
      <c r="A869" t="s">
        <v>2685</v>
      </c>
      <c r="B869" s="1">
        <v>44758</v>
      </c>
      <c r="C869" s="1">
        <v>44831</v>
      </c>
      <c r="D869" s="1">
        <v>45022</v>
      </c>
      <c r="E869">
        <v>73148.45</v>
      </c>
      <c r="F869">
        <f t="shared" si="40"/>
        <v>2022</v>
      </c>
      <c r="G869">
        <f t="shared" si="41"/>
        <v>2023</v>
      </c>
      <c r="H869">
        <f t="shared" si="39"/>
        <v>1</v>
      </c>
    </row>
    <row r="870" spans="1:8" x14ac:dyDescent="0.25">
      <c r="A870" t="s">
        <v>2686</v>
      </c>
      <c r="B870" s="1">
        <v>45238</v>
      </c>
      <c r="C870" s="1">
        <v>45239</v>
      </c>
      <c r="D870" s="1">
        <v>45372</v>
      </c>
      <c r="E870">
        <v>40666.620000000003</v>
      </c>
      <c r="F870">
        <f t="shared" si="40"/>
        <v>2023</v>
      </c>
      <c r="G870">
        <f t="shared" si="41"/>
        <v>2024</v>
      </c>
      <c r="H870">
        <f t="shared" si="39"/>
        <v>1</v>
      </c>
    </row>
    <row r="871" spans="1:8" x14ac:dyDescent="0.25">
      <c r="A871" t="s">
        <v>2327</v>
      </c>
      <c r="B871" s="1">
        <v>44260</v>
      </c>
      <c r="C871" s="1">
        <v>44301</v>
      </c>
      <c r="D871" s="1">
        <v>44484</v>
      </c>
      <c r="E871">
        <v>22701.439999999999</v>
      </c>
      <c r="F871">
        <f t="shared" si="40"/>
        <v>2021</v>
      </c>
      <c r="G871">
        <f t="shared" si="41"/>
        <v>2021</v>
      </c>
      <c r="H871">
        <f t="shared" si="39"/>
        <v>0</v>
      </c>
    </row>
    <row r="872" spans="1:8" x14ac:dyDescent="0.25">
      <c r="A872" t="s">
        <v>2573</v>
      </c>
      <c r="B872" s="1">
        <v>44887</v>
      </c>
      <c r="C872" s="1">
        <v>44949</v>
      </c>
      <c r="D872" s="1">
        <v>45053</v>
      </c>
      <c r="E872">
        <v>31281.45</v>
      </c>
      <c r="F872">
        <f t="shared" si="40"/>
        <v>2022</v>
      </c>
      <c r="G872">
        <f t="shared" si="41"/>
        <v>2023</v>
      </c>
      <c r="H872">
        <f t="shared" si="39"/>
        <v>1</v>
      </c>
    </row>
    <row r="873" spans="1:8" x14ac:dyDescent="0.25">
      <c r="A873" t="s">
        <v>2262</v>
      </c>
      <c r="B873" s="1">
        <v>45537</v>
      </c>
      <c r="C873" s="1">
        <v>45586</v>
      </c>
      <c r="D873" s="1">
        <v>45695</v>
      </c>
      <c r="E873">
        <v>56641.67</v>
      </c>
      <c r="F873">
        <f t="shared" si="40"/>
        <v>2024</v>
      </c>
      <c r="G873">
        <f t="shared" si="41"/>
        <v>2025</v>
      </c>
      <c r="H873">
        <f t="shared" si="39"/>
        <v>1</v>
      </c>
    </row>
    <row r="874" spans="1:8" x14ac:dyDescent="0.25">
      <c r="A874" t="s">
        <v>2229</v>
      </c>
      <c r="B874" s="1">
        <v>44534</v>
      </c>
      <c r="C874" s="1">
        <v>44590</v>
      </c>
      <c r="D874" s="1">
        <v>44667</v>
      </c>
      <c r="E874">
        <v>74441.59</v>
      </c>
      <c r="F874">
        <f t="shared" si="40"/>
        <v>2021</v>
      </c>
      <c r="G874">
        <f t="shared" si="41"/>
        <v>2022</v>
      </c>
      <c r="H874">
        <f t="shared" si="39"/>
        <v>1</v>
      </c>
    </row>
    <row r="875" spans="1:8" x14ac:dyDescent="0.25">
      <c r="A875" t="s">
        <v>2687</v>
      </c>
      <c r="B875" s="1">
        <v>44948</v>
      </c>
      <c r="C875" s="1">
        <v>45007</v>
      </c>
      <c r="D875" s="1">
        <v>45188</v>
      </c>
      <c r="E875">
        <v>70780.75</v>
      </c>
      <c r="F875">
        <f t="shared" si="40"/>
        <v>2023</v>
      </c>
      <c r="G875">
        <f t="shared" si="41"/>
        <v>2023</v>
      </c>
      <c r="H875">
        <f t="shared" si="39"/>
        <v>0</v>
      </c>
    </row>
    <row r="876" spans="1:8" x14ac:dyDescent="0.25">
      <c r="A876" t="s">
        <v>2266</v>
      </c>
      <c r="B876" s="1">
        <v>45150</v>
      </c>
      <c r="C876" s="1">
        <v>45184</v>
      </c>
      <c r="D876" s="1">
        <v>45233</v>
      </c>
      <c r="E876">
        <v>18621.63</v>
      </c>
      <c r="F876">
        <f t="shared" si="40"/>
        <v>2023</v>
      </c>
      <c r="G876">
        <f t="shared" si="41"/>
        <v>2023</v>
      </c>
      <c r="H876">
        <f t="shared" si="39"/>
        <v>0</v>
      </c>
    </row>
    <row r="877" spans="1:8" x14ac:dyDescent="0.25">
      <c r="A877" t="s">
        <v>2419</v>
      </c>
      <c r="B877" s="1">
        <v>44186</v>
      </c>
      <c r="C877" s="1">
        <v>44254</v>
      </c>
      <c r="D877" s="1">
        <v>44679</v>
      </c>
      <c r="E877">
        <v>22043.11</v>
      </c>
      <c r="F877">
        <f t="shared" si="40"/>
        <v>2020</v>
      </c>
      <c r="G877">
        <f t="shared" si="41"/>
        <v>2022</v>
      </c>
      <c r="H877">
        <f t="shared" si="39"/>
        <v>2</v>
      </c>
    </row>
    <row r="878" spans="1:8" x14ac:dyDescent="0.25">
      <c r="A878" t="s">
        <v>2301</v>
      </c>
      <c r="B878" s="1">
        <v>45095</v>
      </c>
      <c r="C878" s="1">
        <v>45144</v>
      </c>
      <c r="D878" s="1">
        <v>45551</v>
      </c>
      <c r="E878">
        <v>22437.79</v>
      </c>
      <c r="F878">
        <f t="shared" si="40"/>
        <v>2023</v>
      </c>
      <c r="G878">
        <f t="shared" si="41"/>
        <v>2024</v>
      </c>
      <c r="H878">
        <f t="shared" si="39"/>
        <v>1</v>
      </c>
    </row>
    <row r="879" spans="1:8" x14ac:dyDescent="0.25">
      <c r="A879" t="s">
        <v>2688</v>
      </c>
      <c r="B879" s="1">
        <v>45194</v>
      </c>
      <c r="C879" s="1">
        <v>45244</v>
      </c>
      <c r="D879" s="1">
        <v>45282</v>
      </c>
      <c r="E879">
        <v>55709.2</v>
      </c>
      <c r="F879">
        <f t="shared" si="40"/>
        <v>2023</v>
      </c>
      <c r="G879">
        <f t="shared" si="41"/>
        <v>2023</v>
      </c>
      <c r="H879">
        <f t="shared" si="39"/>
        <v>0</v>
      </c>
    </row>
    <row r="880" spans="1:8" x14ac:dyDescent="0.25">
      <c r="A880" t="s">
        <v>2676</v>
      </c>
      <c r="B880" s="1">
        <v>44679</v>
      </c>
      <c r="C880" s="1">
        <v>44716</v>
      </c>
      <c r="D880" s="1">
        <v>44873</v>
      </c>
      <c r="E880">
        <v>33851.379999999997</v>
      </c>
      <c r="F880">
        <f t="shared" si="40"/>
        <v>2022</v>
      </c>
      <c r="G880">
        <f t="shared" si="41"/>
        <v>2022</v>
      </c>
      <c r="H880">
        <f t="shared" si="39"/>
        <v>0</v>
      </c>
    </row>
    <row r="881" spans="1:8" x14ac:dyDescent="0.25">
      <c r="A881" t="s">
        <v>2619</v>
      </c>
      <c r="B881" s="1">
        <v>45037</v>
      </c>
      <c r="C881" s="1">
        <v>45103</v>
      </c>
      <c r="D881" s="1">
        <v>45157</v>
      </c>
      <c r="E881">
        <v>82008.259999999995</v>
      </c>
      <c r="F881">
        <f t="shared" si="40"/>
        <v>2023</v>
      </c>
      <c r="G881">
        <f t="shared" si="41"/>
        <v>2023</v>
      </c>
      <c r="H881">
        <f t="shared" si="39"/>
        <v>0</v>
      </c>
    </row>
    <row r="882" spans="1:8" x14ac:dyDescent="0.25">
      <c r="A882" t="s">
        <v>2689</v>
      </c>
      <c r="B882" s="1">
        <v>44448</v>
      </c>
      <c r="C882" s="1">
        <v>44480</v>
      </c>
      <c r="D882" s="1">
        <v>44842</v>
      </c>
      <c r="E882">
        <v>24218.560000000001</v>
      </c>
      <c r="F882">
        <f t="shared" si="40"/>
        <v>2021</v>
      </c>
      <c r="G882">
        <f t="shared" si="41"/>
        <v>2022</v>
      </c>
      <c r="H882">
        <f t="shared" si="39"/>
        <v>1</v>
      </c>
    </row>
    <row r="883" spans="1:8" x14ac:dyDescent="0.25">
      <c r="A883" t="s">
        <v>2578</v>
      </c>
      <c r="B883" s="1">
        <v>44191</v>
      </c>
      <c r="C883" s="1">
        <v>44222</v>
      </c>
      <c r="D883" s="1">
        <v>44364</v>
      </c>
      <c r="E883">
        <v>73052.179999999993</v>
      </c>
      <c r="F883">
        <f t="shared" si="40"/>
        <v>2020</v>
      </c>
      <c r="G883">
        <f t="shared" si="41"/>
        <v>2021</v>
      </c>
      <c r="H883">
        <f t="shared" si="39"/>
        <v>1</v>
      </c>
    </row>
    <row r="884" spans="1:8" x14ac:dyDescent="0.25">
      <c r="A884" t="s">
        <v>2690</v>
      </c>
      <c r="B884" s="1">
        <v>45502</v>
      </c>
      <c r="C884" s="1">
        <v>45558</v>
      </c>
      <c r="D884" s="1">
        <v>45800</v>
      </c>
      <c r="E884">
        <v>-13229.89</v>
      </c>
      <c r="F884">
        <f t="shared" si="40"/>
        <v>2024</v>
      </c>
      <c r="G884">
        <f t="shared" si="41"/>
        <v>2025</v>
      </c>
      <c r="H884">
        <f t="shared" si="39"/>
        <v>1</v>
      </c>
    </row>
    <row r="885" spans="1:8" x14ac:dyDescent="0.25">
      <c r="A885" t="s">
        <v>2602</v>
      </c>
      <c r="B885" s="1">
        <v>44736</v>
      </c>
      <c r="C885" s="1">
        <v>44793</v>
      </c>
      <c r="D885" s="1">
        <v>45058</v>
      </c>
      <c r="E885">
        <v>13598.15</v>
      </c>
      <c r="F885">
        <f t="shared" si="40"/>
        <v>2022</v>
      </c>
      <c r="G885">
        <f t="shared" si="41"/>
        <v>2023</v>
      </c>
      <c r="H885">
        <f t="shared" si="39"/>
        <v>1</v>
      </c>
    </row>
    <row r="886" spans="1:8" x14ac:dyDescent="0.25">
      <c r="A886" t="s">
        <v>2691</v>
      </c>
      <c r="B886" s="1">
        <v>44101</v>
      </c>
      <c r="C886" s="1">
        <v>44144</v>
      </c>
      <c r="D886" s="1">
        <v>44602</v>
      </c>
      <c r="E886">
        <v>69398.84</v>
      </c>
      <c r="F886">
        <f t="shared" si="40"/>
        <v>2020</v>
      </c>
      <c r="G886">
        <f t="shared" si="41"/>
        <v>2022</v>
      </c>
      <c r="H886">
        <f t="shared" si="39"/>
        <v>2</v>
      </c>
    </row>
    <row r="887" spans="1:8" x14ac:dyDescent="0.25">
      <c r="A887" t="s">
        <v>2286</v>
      </c>
      <c r="B887" s="1">
        <v>45110</v>
      </c>
      <c r="C887" s="1">
        <v>45118</v>
      </c>
      <c r="D887" s="1">
        <v>45605</v>
      </c>
      <c r="E887">
        <v>18407.3</v>
      </c>
      <c r="F887">
        <f t="shared" si="40"/>
        <v>2023</v>
      </c>
      <c r="G887">
        <f t="shared" si="41"/>
        <v>2024</v>
      </c>
      <c r="H887">
        <f t="shared" si="39"/>
        <v>1</v>
      </c>
    </row>
    <row r="888" spans="1:8" x14ac:dyDescent="0.25">
      <c r="A888" t="s">
        <v>2692</v>
      </c>
      <c r="B888" s="1">
        <v>44292</v>
      </c>
      <c r="C888" s="1">
        <v>44334</v>
      </c>
      <c r="D888" s="1">
        <v>44400</v>
      </c>
      <c r="E888">
        <v>79758.47</v>
      </c>
      <c r="F888">
        <f t="shared" si="40"/>
        <v>2021</v>
      </c>
      <c r="G888">
        <f t="shared" si="41"/>
        <v>2021</v>
      </c>
      <c r="H888">
        <f t="shared" si="39"/>
        <v>0</v>
      </c>
    </row>
    <row r="889" spans="1:8" x14ac:dyDescent="0.25">
      <c r="A889" t="s">
        <v>2628</v>
      </c>
      <c r="B889" s="1">
        <v>43951</v>
      </c>
      <c r="C889" s="1">
        <v>44002</v>
      </c>
      <c r="D889" s="1">
        <v>44156</v>
      </c>
      <c r="E889">
        <v>38276.94</v>
      </c>
      <c r="F889">
        <f t="shared" si="40"/>
        <v>2020</v>
      </c>
      <c r="G889">
        <f t="shared" si="41"/>
        <v>2020</v>
      </c>
      <c r="H889">
        <f t="shared" si="39"/>
        <v>0</v>
      </c>
    </row>
    <row r="890" spans="1:8" x14ac:dyDescent="0.25">
      <c r="A890" t="s">
        <v>2325</v>
      </c>
      <c r="B890" s="1">
        <v>44529</v>
      </c>
      <c r="C890" s="1">
        <v>44538</v>
      </c>
      <c r="D890" s="1">
        <v>44785</v>
      </c>
      <c r="E890">
        <v>-8146.1</v>
      </c>
      <c r="F890">
        <f t="shared" si="40"/>
        <v>2021</v>
      </c>
      <c r="G890">
        <f t="shared" si="41"/>
        <v>2022</v>
      </c>
      <c r="H890">
        <f t="shared" si="39"/>
        <v>1</v>
      </c>
    </row>
    <row r="891" spans="1:8" x14ac:dyDescent="0.25">
      <c r="A891" t="s">
        <v>2693</v>
      </c>
      <c r="B891" s="1">
        <v>45340</v>
      </c>
      <c r="C891" s="1">
        <v>45406</v>
      </c>
      <c r="D891" s="1">
        <v>45545</v>
      </c>
      <c r="E891">
        <v>58970.95</v>
      </c>
      <c r="F891">
        <f t="shared" si="40"/>
        <v>2024</v>
      </c>
      <c r="G891">
        <f t="shared" si="41"/>
        <v>2024</v>
      </c>
      <c r="H891">
        <f t="shared" si="39"/>
        <v>0</v>
      </c>
    </row>
    <row r="892" spans="1:8" x14ac:dyDescent="0.25">
      <c r="A892" t="s">
        <v>2458</v>
      </c>
      <c r="B892" s="1">
        <v>44456</v>
      </c>
      <c r="C892" s="1">
        <v>44510</v>
      </c>
      <c r="D892" s="1">
        <v>44888</v>
      </c>
      <c r="E892">
        <v>19608.59</v>
      </c>
      <c r="F892">
        <f t="shared" si="40"/>
        <v>2021</v>
      </c>
      <c r="G892">
        <f t="shared" si="41"/>
        <v>2022</v>
      </c>
      <c r="H892">
        <f t="shared" si="39"/>
        <v>1</v>
      </c>
    </row>
    <row r="893" spans="1:8" x14ac:dyDescent="0.25">
      <c r="A893" t="s">
        <v>2694</v>
      </c>
      <c r="B893" s="1">
        <v>44090</v>
      </c>
      <c r="C893" s="1">
        <v>44096</v>
      </c>
      <c r="D893" s="1">
        <v>44190</v>
      </c>
      <c r="E893">
        <v>14008.58</v>
      </c>
      <c r="F893">
        <f t="shared" si="40"/>
        <v>2020</v>
      </c>
      <c r="G893">
        <f t="shared" si="41"/>
        <v>2020</v>
      </c>
      <c r="H893">
        <f t="shared" si="39"/>
        <v>0</v>
      </c>
    </row>
    <row r="894" spans="1:8" x14ac:dyDescent="0.25">
      <c r="A894" t="s">
        <v>2695</v>
      </c>
      <c r="B894" s="1">
        <v>44668</v>
      </c>
      <c r="C894" s="1">
        <v>44738</v>
      </c>
      <c r="D894" s="1">
        <v>44781</v>
      </c>
      <c r="E894">
        <v>-6276.12</v>
      </c>
      <c r="F894">
        <f t="shared" si="40"/>
        <v>2022</v>
      </c>
      <c r="G894">
        <f t="shared" si="41"/>
        <v>2022</v>
      </c>
      <c r="H894">
        <f t="shared" si="39"/>
        <v>0</v>
      </c>
    </row>
    <row r="895" spans="1:8" x14ac:dyDescent="0.25">
      <c r="A895" t="s">
        <v>2252</v>
      </c>
      <c r="B895" s="1">
        <v>43950</v>
      </c>
      <c r="C895" s="1">
        <v>44010</v>
      </c>
      <c r="D895" s="1">
        <v>44353</v>
      </c>
      <c r="E895">
        <v>45108.49</v>
      </c>
      <c r="F895">
        <f t="shared" si="40"/>
        <v>2020</v>
      </c>
      <c r="G895">
        <f t="shared" si="41"/>
        <v>2021</v>
      </c>
      <c r="H895">
        <f t="shared" si="39"/>
        <v>1</v>
      </c>
    </row>
    <row r="896" spans="1:8" x14ac:dyDescent="0.25">
      <c r="A896" t="s">
        <v>2444</v>
      </c>
      <c r="B896" s="1">
        <v>44495</v>
      </c>
      <c r="C896" s="1">
        <v>44530</v>
      </c>
      <c r="D896" s="1">
        <v>44987</v>
      </c>
      <c r="E896">
        <v>39260.35</v>
      </c>
      <c r="F896">
        <f t="shared" si="40"/>
        <v>2021</v>
      </c>
      <c r="G896">
        <f t="shared" si="41"/>
        <v>2023</v>
      </c>
      <c r="H896">
        <f t="shared" si="39"/>
        <v>2</v>
      </c>
    </row>
    <row r="897" spans="1:8" x14ac:dyDescent="0.25">
      <c r="A897" t="s">
        <v>2387</v>
      </c>
      <c r="B897" s="1">
        <v>43854</v>
      </c>
      <c r="C897" s="1">
        <v>43941</v>
      </c>
      <c r="D897" s="1">
        <v>44280</v>
      </c>
      <c r="E897">
        <v>77293.77</v>
      </c>
      <c r="F897">
        <f t="shared" si="40"/>
        <v>2020</v>
      </c>
      <c r="G897">
        <f t="shared" si="41"/>
        <v>2021</v>
      </c>
      <c r="H897">
        <f t="shared" si="39"/>
        <v>1</v>
      </c>
    </row>
    <row r="898" spans="1:8" x14ac:dyDescent="0.25">
      <c r="A898" t="s">
        <v>2452</v>
      </c>
      <c r="B898" s="1">
        <v>44714</v>
      </c>
      <c r="C898" s="1">
        <v>44759</v>
      </c>
      <c r="D898" s="1">
        <v>45156</v>
      </c>
      <c r="E898">
        <v>61416.27</v>
      </c>
      <c r="F898">
        <f t="shared" si="40"/>
        <v>2022</v>
      </c>
      <c r="G898">
        <f t="shared" si="41"/>
        <v>2023</v>
      </c>
      <c r="H898">
        <f t="shared" ref="H898:H961" si="42">MAX(0,G898-F898)</f>
        <v>1</v>
      </c>
    </row>
    <row r="899" spans="1:8" x14ac:dyDescent="0.25">
      <c r="A899" t="s">
        <v>2374</v>
      </c>
      <c r="B899" s="1">
        <v>44914</v>
      </c>
      <c r="C899" s="1">
        <v>44952</v>
      </c>
      <c r="D899" s="1">
        <v>45062</v>
      </c>
      <c r="E899">
        <v>11739.02</v>
      </c>
      <c r="F899">
        <f t="shared" ref="F899:F962" si="43">YEAR(B899)</f>
        <v>2022</v>
      </c>
      <c r="G899">
        <f t="shared" ref="G899:G962" si="44">YEAR(D899)</f>
        <v>2023</v>
      </c>
      <c r="H899">
        <f t="shared" si="42"/>
        <v>1</v>
      </c>
    </row>
    <row r="900" spans="1:8" x14ac:dyDescent="0.25">
      <c r="A900" t="s">
        <v>2696</v>
      </c>
      <c r="B900" s="1">
        <v>44243</v>
      </c>
      <c r="C900" s="1">
        <v>44262</v>
      </c>
      <c r="D900" s="1">
        <v>44318</v>
      </c>
      <c r="E900">
        <v>8323.2099999999991</v>
      </c>
      <c r="F900">
        <f t="shared" si="43"/>
        <v>2021</v>
      </c>
      <c r="G900">
        <f t="shared" si="44"/>
        <v>2021</v>
      </c>
      <c r="H900">
        <f t="shared" si="42"/>
        <v>0</v>
      </c>
    </row>
    <row r="901" spans="1:8" x14ac:dyDescent="0.25">
      <c r="A901" t="s">
        <v>2687</v>
      </c>
      <c r="B901" s="1">
        <v>44948</v>
      </c>
      <c r="C901" s="1">
        <v>45007</v>
      </c>
      <c r="D901" s="1">
        <v>45288</v>
      </c>
      <c r="E901">
        <v>12523.87</v>
      </c>
      <c r="F901">
        <f t="shared" si="43"/>
        <v>2023</v>
      </c>
      <c r="G901">
        <f t="shared" si="44"/>
        <v>2023</v>
      </c>
      <c r="H901">
        <f t="shared" si="42"/>
        <v>0</v>
      </c>
    </row>
    <row r="902" spans="1:8" x14ac:dyDescent="0.25">
      <c r="A902" t="s">
        <v>2669</v>
      </c>
      <c r="B902" s="1">
        <v>45458</v>
      </c>
      <c r="C902" s="1">
        <v>45489</v>
      </c>
      <c r="D902" s="1">
        <v>45739</v>
      </c>
      <c r="E902">
        <v>38975.699999999997</v>
      </c>
      <c r="F902">
        <f t="shared" si="43"/>
        <v>2024</v>
      </c>
      <c r="G902">
        <f t="shared" si="44"/>
        <v>2025</v>
      </c>
      <c r="H902">
        <f t="shared" si="42"/>
        <v>1</v>
      </c>
    </row>
    <row r="903" spans="1:8" x14ac:dyDescent="0.25">
      <c r="A903" t="s">
        <v>2697</v>
      </c>
      <c r="B903" s="1">
        <v>43931</v>
      </c>
      <c r="C903" s="1">
        <v>44016</v>
      </c>
      <c r="D903" s="1">
        <v>44447</v>
      </c>
      <c r="E903">
        <v>41260.93</v>
      </c>
      <c r="F903">
        <f t="shared" si="43"/>
        <v>2020</v>
      </c>
      <c r="G903">
        <f t="shared" si="44"/>
        <v>2021</v>
      </c>
      <c r="H903">
        <f t="shared" si="42"/>
        <v>1</v>
      </c>
    </row>
    <row r="904" spans="1:8" x14ac:dyDescent="0.25">
      <c r="A904" t="s">
        <v>2698</v>
      </c>
      <c r="B904" s="1">
        <v>45394</v>
      </c>
      <c r="C904" s="1">
        <v>45399</v>
      </c>
      <c r="D904" s="1">
        <v>45565</v>
      </c>
      <c r="E904">
        <v>11606</v>
      </c>
      <c r="F904">
        <f t="shared" si="43"/>
        <v>2024</v>
      </c>
      <c r="G904">
        <f t="shared" si="44"/>
        <v>2024</v>
      </c>
      <c r="H904">
        <f t="shared" si="42"/>
        <v>0</v>
      </c>
    </row>
    <row r="905" spans="1:8" x14ac:dyDescent="0.25">
      <c r="A905" t="s">
        <v>2699</v>
      </c>
      <c r="B905" s="1">
        <v>43836</v>
      </c>
      <c r="C905" s="1">
        <v>43895</v>
      </c>
      <c r="D905" s="1">
        <v>44090</v>
      </c>
      <c r="E905">
        <v>-14578.09</v>
      </c>
      <c r="F905">
        <f t="shared" si="43"/>
        <v>2020</v>
      </c>
      <c r="G905">
        <f t="shared" si="44"/>
        <v>2020</v>
      </c>
      <c r="H905">
        <f t="shared" si="42"/>
        <v>0</v>
      </c>
    </row>
    <row r="906" spans="1:8" x14ac:dyDescent="0.25">
      <c r="A906" t="s">
        <v>2700</v>
      </c>
      <c r="B906" s="1">
        <v>44378</v>
      </c>
      <c r="C906" s="1">
        <v>44426</v>
      </c>
      <c r="D906" s="1">
        <v>44571</v>
      </c>
      <c r="E906">
        <v>68192.070000000007</v>
      </c>
      <c r="F906">
        <f t="shared" si="43"/>
        <v>2021</v>
      </c>
      <c r="G906">
        <f t="shared" si="44"/>
        <v>2022</v>
      </c>
      <c r="H906">
        <f t="shared" si="42"/>
        <v>1</v>
      </c>
    </row>
    <row r="907" spans="1:8" x14ac:dyDescent="0.25">
      <c r="A907" t="s">
        <v>2701</v>
      </c>
      <c r="B907" s="1">
        <v>44402</v>
      </c>
      <c r="C907" s="1">
        <v>44474</v>
      </c>
      <c r="D907" s="1">
        <v>44359</v>
      </c>
      <c r="E907">
        <v>74512.17</v>
      </c>
      <c r="F907">
        <f t="shared" si="43"/>
        <v>2021</v>
      </c>
      <c r="G907">
        <f t="shared" si="44"/>
        <v>2021</v>
      </c>
      <c r="H907">
        <f t="shared" si="42"/>
        <v>0</v>
      </c>
    </row>
    <row r="908" spans="1:8" x14ac:dyDescent="0.25">
      <c r="A908" t="s">
        <v>2513</v>
      </c>
      <c r="B908" s="1">
        <v>44953</v>
      </c>
      <c r="C908" s="1">
        <v>45028</v>
      </c>
      <c r="D908" s="1">
        <v>45233</v>
      </c>
      <c r="E908">
        <v>25672.12</v>
      </c>
      <c r="F908">
        <f t="shared" si="43"/>
        <v>2023</v>
      </c>
      <c r="G908">
        <f t="shared" si="44"/>
        <v>2023</v>
      </c>
      <c r="H908">
        <f t="shared" si="42"/>
        <v>0</v>
      </c>
    </row>
    <row r="909" spans="1:8" x14ac:dyDescent="0.25">
      <c r="A909" t="s">
        <v>2586</v>
      </c>
      <c r="B909" s="1">
        <v>44422</v>
      </c>
      <c r="C909" s="1">
        <v>44502</v>
      </c>
      <c r="D909" s="1">
        <v>45035</v>
      </c>
      <c r="E909">
        <v>20624.38</v>
      </c>
      <c r="F909">
        <f t="shared" si="43"/>
        <v>2021</v>
      </c>
      <c r="G909">
        <f t="shared" si="44"/>
        <v>2023</v>
      </c>
      <c r="H909">
        <f t="shared" si="42"/>
        <v>2</v>
      </c>
    </row>
    <row r="910" spans="1:8" x14ac:dyDescent="0.25">
      <c r="A910" t="s">
        <v>2404</v>
      </c>
      <c r="B910" s="1">
        <v>44813</v>
      </c>
      <c r="C910" s="1">
        <v>44842</v>
      </c>
      <c r="D910" s="1">
        <v>45071</v>
      </c>
      <c r="E910">
        <v>30049.21</v>
      </c>
      <c r="F910">
        <f t="shared" si="43"/>
        <v>2022</v>
      </c>
      <c r="G910">
        <f t="shared" si="44"/>
        <v>2023</v>
      </c>
      <c r="H910">
        <f t="shared" si="42"/>
        <v>1</v>
      </c>
    </row>
    <row r="911" spans="1:8" x14ac:dyDescent="0.25">
      <c r="A911" t="s">
        <v>2553</v>
      </c>
      <c r="B911" s="1">
        <v>44224</v>
      </c>
      <c r="C911" s="1">
        <v>44259</v>
      </c>
      <c r="D911" s="1">
        <v>44835</v>
      </c>
      <c r="E911">
        <v>39926.769999999997</v>
      </c>
      <c r="F911">
        <f t="shared" si="43"/>
        <v>2021</v>
      </c>
      <c r="G911">
        <f t="shared" si="44"/>
        <v>2022</v>
      </c>
      <c r="H911">
        <f t="shared" si="42"/>
        <v>1</v>
      </c>
    </row>
    <row r="912" spans="1:8" x14ac:dyDescent="0.25">
      <c r="A912" t="s">
        <v>2312</v>
      </c>
      <c r="B912" s="1">
        <v>45413</v>
      </c>
      <c r="C912" s="1">
        <v>45446</v>
      </c>
      <c r="D912" s="1">
        <v>45643</v>
      </c>
      <c r="E912">
        <v>-19154.419999999998</v>
      </c>
      <c r="F912">
        <f t="shared" si="43"/>
        <v>2024</v>
      </c>
      <c r="G912">
        <f t="shared" si="44"/>
        <v>2024</v>
      </c>
      <c r="H912">
        <f t="shared" si="42"/>
        <v>0</v>
      </c>
    </row>
    <row r="913" spans="1:8" x14ac:dyDescent="0.25">
      <c r="A913" t="s">
        <v>2702</v>
      </c>
      <c r="B913" s="1">
        <v>45256</v>
      </c>
      <c r="C913" s="1">
        <v>45322</v>
      </c>
      <c r="D913" s="1">
        <v>45477</v>
      </c>
      <c r="E913">
        <v>4346.6000000000004</v>
      </c>
      <c r="F913">
        <f t="shared" si="43"/>
        <v>2023</v>
      </c>
      <c r="G913">
        <f t="shared" si="44"/>
        <v>2024</v>
      </c>
      <c r="H913">
        <f t="shared" si="42"/>
        <v>1</v>
      </c>
    </row>
    <row r="914" spans="1:8" x14ac:dyDescent="0.25">
      <c r="A914" t="s">
        <v>2366</v>
      </c>
      <c r="B914" s="1">
        <v>44164</v>
      </c>
      <c r="C914" s="1">
        <v>44248</v>
      </c>
      <c r="D914" s="1">
        <v>44426</v>
      </c>
      <c r="E914">
        <v>22120.14</v>
      </c>
      <c r="F914">
        <f t="shared" si="43"/>
        <v>2020</v>
      </c>
      <c r="G914">
        <f t="shared" si="44"/>
        <v>2021</v>
      </c>
      <c r="H914">
        <f t="shared" si="42"/>
        <v>1</v>
      </c>
    </row>
    <row r="915" spans="1:8" x14ac:dyDescent="0.25">
      <c r="A915" t="s">
        <v>2376</v>
      </c>
      <c r="B915" s="1">
        <v>45083</v>
      </c>
      <c r="C915" s="1">
        <v>45091</v>
      </c>
      <c r="D915" s="1">
        <v>45450</v>
      </c>
      <c r="E915">
        <v>23998.32</v>
      </c>
      <c r="F915">
        <f t="shared" si="43"/>
        <v>2023</v>
      </c>
      <c r="G915">
        <f t="shared" si="44"/>
        <v>2024</v>
      </c>
      <c r="H915">
        <f t="shared" si="42"/>
        <v>1</v>
      </c>
    </row>
    <row r="916" spans="1:8" x14ac:dyDescent="0.25">
      <c r="A916" t="s">
        <v>2586</v>
      </c>
      <c r="B916" s="1">
        <v>44422</v>
      </c>
      <c r="C916" s="1">
        <v>44502</v>
      </c>
      <c r="D916" s="1">
        <v>44619</v>
      </c>
      <c r="E916">
        <v>7462.41</v>
      </c>
      <c r="F916">
        <f t="shared" si="43"/>
        <v>2021</v>
      </c>
      <c r="G916">
        <f t="shared" si="44"/>
        <v>2022</v>
      </c>
      <c r="H916">
        <f t="shared" si="42"/>
        <v>1</v>
      </c>
    </row>
    <row r="917" spans="1:8" x14ac:dyDescent="0.25">
      <c r="A917" t="s">
        <v>2175</v>
      </c>
      <c r="B917" s="1">
        <v>43913</v>
      </c>
      <c r="C917" s="1">
        <v>43927</v>
      </c>
      <c r="D917" s="1">
        <v>44605</v>
      </c>
      <c r="E917">
        <v>42583.72</v>
      </c>
      <c r="F917">
        <f t="shared" si="43"/>
        <v>2020</v>
      </c>
      <c r="G917">
        <f t="shared" si="44"/>
        <v>2022</v>
      </c>
      <c r="H917">
        <f t="shared" si="42"/>
        <v>2</v>
      </c>
    </row>
    <row r="918" spans="1:8" x14ac:dyDescent="0.25">
      <c r="A918" t="s">
        <v>2521</v>
      </c>
      <c r="B918" s="1">
        <v>45205</v>
      </c>
      <c r="C918" s="1">
        <v>45234</v>
      </c>
      <c r="D918" s="1">
        <v>45416</v>
      </c>
      <c r="E918">
        <v>20640.38</v>
      </c>
      <c r="F918">
        <f t="shared" si="43"/>
        <v>2023</v>
      </c>
      <c r="G918">
        <f t="shared" si="44"/>
        <v>2024</v>
      </c>
      <c r="H918">
        <f t="shared" si="42"/>
        <v>1</v>
      </c>
    </row>
    <row r="919" spans="1:8" x14ac:dyDescent="0.25">
      <c r="A919" t="s">
        <v>2703</v>
      </c>
      <c r="B919" s="1">
        <v>44205</v>
      </c>
      <c r="C919" s="1">
        <v>44284</v>
      </c>
      <c r="D919" s="1">
        <v>44396</v>
      </c>
      <c r="E919">
        <v>9319.5</v>
      </c>
      <c r="F919">
        <f t="shared" si="43"/>
        <v>2021</v>
      </c>
      <c r="G919">
        <f t="shared" si="44"/>
        <v>2021</v>
      </c>
      <c r="H919">
        <f t="shared" si="42"/>
        <v>0</v>
      </c>
    </row>
    <row r="920" spans="1:8" x14ac:dyDescent="0.25">
      <c r="A920" t="s">
        <v>2704</v>
      </c>
      <c r="B920" s="1">
        <v>45457</v>
      </c>
      <c r="C920" s="1">
        <v>45540</v>
      </c>
      <c r="D920" s="1">
        <v>45807</v>
      </c>
      <c r="E920">
        <v>28787.8</v>
      </c>
      <c r="F920">
        <f t="shared" si="43"/>
        <v>2024</v>
      </c>
      <c r="G920">
        <f t="shared" si="44"/>
        <v>2025</v>
      </c>
      <c r="H920">
        <f t="shared" si="42"/>
        <v>1</v>
      </c>
    </row>
    <row r="921" spans="1:8" x14ac:dyDescent="0.25">
      <c r="A921" t="s">
        <v>2160</v>
      </c>
      <c r="B921" s="1">
        <v>44984</v>
      </c>
      <c r="C921" s="1">
        <v>45053</v>
      </c>
      <c r="D921" s="1">
        <v>45154</v>
      </c>
      <c r="E921">
        <v>50031.87</v>
      </c>
      <c r="F921">
        <f t="shared" si="43"/>
        <v>2023</v>
      </c>
      <c r="G921">
        <f t="shared" si="44"/>
        <v>2023</v>
      </c>
      <c r="H921">
        <f t="shared" si="42"/>
        <v>0</v>
      </c>
    </row>
    <row r="922" spans="1:8" x14ac:dyDescent="0.25">
      <c r="A922" t="s">
        <v>2294</v>
      </c>
      <c r="B922" s="1">
        <v>45402</v>
      </c>
      <c r="C922" s="1">
        <v>45442</v>
      </c>
      <c r="D922" s="1">
        <v>45651</v>
      </c>
      <c r="E922">
        <v>-24144.43</v>
      </c>
      <c r="F922">
        <f t="shared" si="43"/>
        <v>2024</v>
      </c>
      <c r="G922">
        <f t="shared" si="44"/>
        <v>2024</v>
      </c>
      <c r="H922">
        <f t="shared" si="42"/>
        <v>0</v>
      </c>
    </row>
    <row r="923" spans="1:8" x14ac:dyDescent="0.25">
      <c r="A923" t="s">
        <v>2412</v>
      </c>
      <c r="B923" s="1">
        <v>43926</v>
      </c>
      <c r="C923" s="1">
        <v>43982</v>
      </c>
      <c r="D923" s="1">
        <v>44101</v>
      </c>
      <c r="E923">
        <v>46676.28</v>
      </c>
      <c r="F923">
        <f t="shared" si="43"/>
        <v>2020</v>
      </c>
      <c r="G923">
        <f t="shared" si="44"/>
        <v>2020</v>
      </c>
      <c r="H923">
        <f t="shared" si="42"/>
        <v>0</v>
      </c>
    </row>
    <row r="924" spans="1:8" x14ac:dyDescent="0.25">
      <c r="A924" t="s">
        <v>2459</v>
      </c>
      <c r="B924" s="1">
        <v>45232</v>
      </c>
      <c r="C924" s="1">
        <v>45262</v>
      </c>
      <c r="D924" s="1">
        <v>45406</v>
      </c>
      <c r="E924">
        <v>48896.3</v>
      </c>
      <c r="F924">
        <f t="shared" si="43"/>
        <v>2023</v>
      </c>
      <c r="G924">
        <f t="shared" si="44"/>
        <v>2024</v>
      </c>
      <c r="H924">
        <f t="shared" si="42"/>
        <v>1</v>
      </c>
    </row>
    <row r="925" spans="1:8" x14ac:dyDescent="0.25">
      <c r="A925" t="s">
        <v>2705</v>
      </c>
      <c r="B925" s="1">
        <v>44525</v>
      </c>
      <c r="C925" s="1">
        <v>44594</v>
      </c>
      <c r="D925" s="1">
        <v>44851</v>
      </c>
      <c r="E925">
        <v>45589.79</v>
      </c>
      <c r="F925">
        <f t="shared" si="43"/>
        <v>2021</v>
      </c>
      <c r="G925">
        <f t="shared" si="44"/>
        <v>2022</v>
      </c>
      <c r="H925">
        <f t="shared" si="42"/>
        <v>1</v>
      </c>
    </row>
    <row r="926" spans="1:8" x14ac:dyDescent="0.25">
      <c r="A926" t="s">
        <v>2213</v>
      </c>
      <c r="B926" s="1">
        <v>44020</v>
      </c>
      <c r="C926" s="1">
        <v>44063</v>
      </c>
      <c r="D926" s="1">
        <v>44451</v>
      </c>
      <c r="E926">
        <v>7764.8</v>
      </c>
      <c r="F926">
        <f t="shared" si="43"/>
        <v>2020</v>
      </c>
      <c r="G926">
        <f t="shared" si="44"/>
        <v>2021</v>
      </c>
      <c r="H926">
        <f t="shared" si="42"/>
        <v>1</v>
      </c>
    </row>
    <row r="927" spans="1:8" x14ac:dyDescent="0.25">
      <c r="A927" t="s">
        <v>2363</v>
      </c>
      <c r="B927" s="1">
        <v>44676</v>
      </c>
      <c r="C927" s="1">
        <v>44715</v>
      </c>
      <c r="D927" s="1">
        <v>44949</v>
      </c>
      <c r="E927">
        <v>79396.37</v>
      </c>
      <c r="F927">
        <f t="shared" si="43"/>
        <v>2022</v>
      </c>
      <c r="G927">
        <f t="shared" si="44"/>
        <v>2023</v>
      </c>
      <c r="H927">
        <f t="shared" si="42"/>
        <v>1</v>
      </c>
    </row>
    <row r="928" spans="1:8" x14ac:dyDescent="0.25">
      <c r="A928" t="s">
        <v>2706</v>
      </c>
      <c r="B928" s="1">
        <v>45365</v>
      </c>
      <c r="C928" s="1">
        <v>45405</v>
      </c>
      <c r="D928" s="1">
        <v>45468</v>
      </c>
      <c r="E928">
        <v>-24055.78</v>
      </c>
      <c r="F928">
        <f t="shared" si="43"/>
        <v>2024</v>
      </c>
      <c r="G928">
        <f t="shared" si="44"/>
        <v>2024</v>
      </c>
      <c r="H928">
        <f t="shared" si="42"/>
        <v>0</v>
      </c>
    </row>
    <row r="929" spans="1:8" x14ac:dyDescent="0.25">
      <c r="A929" t="s">
        <v>2707</v>
      </c>
      <c r="B929" s="1">
        <v>44669</v>
      </c>
      <c r="C929" s="1">
        <v>44747</v>
      </c>
      <c r="D929" s="1">
        <v>45123</v>
      </c>
      <c r="E929">
        <v>72372.06</v>
      </c>
      <c r="F929">
        <f t="shared" si="43"/>
        <v>2022</v>
      </c>
      <c r="G929">
        <f t="shared" si="44"/>
        <v>2023</v>
      </c>
      <c r="H929">
        <f t="shared" si="42"/>
        <v>1</v>
      </c>
    </row>
    <row r="930" spans="1:8" x14ac:dyDescent="0.25">
      <c r="A930" t="s">
        <v>2708</v>
      </c>
      <c r="B930" s="1">
        <v>45010</v>
      </c>
      <c r="C930" s="1">
        <v>45012</v>
      </c>
      <c r="D930" s="1">
        <v>45195</v>
      </c>
      <c r="E930">
        <v>65057.27</v>
      </c>
      <c r="F930">
        <f t="shared" si="43"/>
        <v>2023</v>
      </c>
      <c r="G930">
        <f t="shared" si="44"/>
        <v>2023</v>
      </c>
      <c r="H930">
        <f t="shared" si="42"/>
        <v>0</v>
      </c>
    </row>
    <row r="931" spans="1:8" x14ac:dyDescent="0.25">
      <c r="A931" t="s">
        <v>2709</v>
      </c>
      <c r="B931" s="1">
        <v>44035</v>
      </c>
      <c r="C931" s="1">
        <v>44058</v>
      </c>
      <c r="D931" s="1">
        <v>44351</v>
      </c>
      <c r="E931">
        <v>2772.47</v>
      </c>
      <c r="F931">
        <f t="shared" si="43"/>
        <v>2020</v>
      </c>
      <c r="G931">
        <f t="shared" si="44"/>
        <v>2021</v>
      </c>
      <c r="H931">
        <f t="shared" si="42"/>
        <v>1</v>
      </c>
    </row>
    <row r="932" spans="1:8" x14ac:dyDescent="0.25">
      <c r="A932" t="s">
        <v>2710</v>
      </c>
      <c r="B932" s="1">
        <v>44627</v>
      </c>
      <c r="C932" s="1">
        <v>44707</v>
      </c>
      <c r="D932" s="1">
        <v>44741</v>
      </c>
      <c r="E932">
        <v>50094.69</v>
      </c>
      <c r="F932">
        <f t="shared" si="43"/>
        <v>2022</v>
      </c>
      <c r="G932">
        <f t="shared" si="44"/>
        <v>2022</v>
      </c>
      <c r="H932">
        <f t="shared" si="42"/>
        <v>0</v>
      </c>
    </row>
    <row r="933" spans="1:8" x14ac:dyDescent="0.25">
      <c r="A933" t="s">
        <v>2203</v>
      </c>
      <c r="B933" s="1">
        <v>45488</v>
      </c>
      <c r="C933" s="1">
        <v>45557</v>
      </c>
      <c r="D933" s="1">
        <v>45701</v>
      </c>
      <c r="E933">
        <v>74504.850000000006</v>
      </c>
      <c r="F933">
        <f t="shared" si="43"/>
        <v>2024</v>
      </c>
      <c r="G933">
        <f t="shared" si="44"/>
        <v>2025</v>
      </c>
      <c r="H933">
        <f t="shared" si="42"/>
        <v>1</v>
      </c>
    </row>
    <row r="934" spans="1:8" x14ac:dyDescent="0.25">
      <c r="A934" t="s">
        <v>2645</v>
      </c>
      <c r="B934" s="1">
        <v>45508</v>
      </c>
      <c r="C934" s="1">
        <v>45547</v>
      </c>
      <c r="D934" s="1">
        <v>45652</v>
      </c>
      <c r="E934">
        <v>39720.550000000003</v>
      </c>
      <c r="F934">
        <f t="shared" si="43"/>
        <v>2024</v>
      </c>
      <c r="G934">
        <f t="shared" si="44"/>
        <v>2024</v>
      </c>
      <c r="H934">
        <f t="shared" si="42"/>
        <v>0</v>
      </c>
    </row>
    <row r="935" spans="1:8" x14ac:dyDescent="0.25">
      <c r="A935" t="s">
        <v>2506</v>
      </c>
      <c r="B935" s="1">
        <v>44441</v>
      </c>
      <c r="C935" s="1">
        <v>44476</v>
      </c>
      <c r="D935" s="1">
        <v>44840</v>
      </c>
      <c r="E935">
        <v>48347.78</v>
      </c>
      <c r="F935">
        <f t="shared" si="43"/>
        <v>2021</v>
      </c>
      <c r="G935">
        <f t="shared" si="44"/>
        <v>2022</v>
      </c>
      <c r="H935">
        <f t="shared" si="42"/>
        <v>1</v>
      </c>
    </row>
    <row r="936" spans="1:8" x14ac:dyDescent="0.25">
      <c r="A936" t="s">
        <v>2686</v>
      </c>
      <c r="B936" s="1">
        <v>45238</v>
      </c>
      <c r="C936" s="1">
        <v>45239</v>
      </c>
      <c r="D936" s="1">
        <v>45305</v>
      </c>
      <c r="E936">
        <v>55233.59</v>
      </c>
      <c r="F936">
        <f t="shared" si="43"/>
        <v>2023</v>
      </c>
      <c r="G936">
        <f t="shared" si="44"/>
        <v>2024</v>
      </c>
      <c r="H936">
        <f t="shared" si="42"/>
        <v>1</v>
      </c>
    </row>
    <row r="937" spans="1:8" x14ac:dyDescent="0.25">
      <c r="A937" t="s">
        <v>2277</v>
      </c>
      <c r="B937" s="1">
        <v>43881</v>
      </c>
      <c r="C937" s="1">
        <v>43941</v>
      </c>
      <c r="D937" s="1">
        <v>44272</v>
      </c>
      <c r="E937">
        <v>77725.06</v>
      </c>
      <c r="F937">
        <f t="shared" si="43"/>
        <v>2020</v>
      </c>
      <c r="G937">
        <f t="shared" si="44"/>
        <v>2021</v>
      </c>
      <c r="H937">
        <f t="shared" si="42"/>
        <v>1</v>
      </c>
    </row>
    <row r="938" spans="1:8" x14ac:dyDescent="0.25">
      <c r="A938" t="s">
        <v>2433</v>
      </c>
      <c r="B938" s="1">
        <v>45041</v>
      </c>
      <c r="C938" s="1">
        <v>45087</v>
      </c>
      <c r="D938" s="1">
        <v>45138</v>
      </c>
      <c r="E938">
        <v>-8572.4599999999991</v>
      </c>
      <c r="F938">
        <f t="shared" si="43"/>
        <v>2023</v>
      </c>
      <c r="G938">
        <f t="shared" si="44"/>
        <v>2023</v>
      </c>
      <c r="H938">
        <f t="shared" si="42"/>
        <v>0</v>
      </c>
    </row>
    <row r="939" spans="1:8" x14ac:dyDescent="0.25">
      <c r="A939" t="s">
        <v>2500</v>
      </c>
      <c r="B939" s="1">
        <v>44614</v>
      </c>
      <c r="C939" s="1">
        <v>44628</v>
      </c>
      <c r="D939" s="1">
        <v>44755</v>
      </c>
      <c r="E939">
        <v>-15716.94</v>
      </c>
      <c r="F939">
        <f t="shared" si="43"/>
        <v>2022</v>
      </c>
      <c r="G939">
        <f t="shared" si="44"/>
        <v>2022</v>
      </c>
      <c r="H939">
        <f t="shared" si="42"/>
        <v>0</v>
      </c>
    </row>
    <row r="940" spans="1:8" x14ac:dyDescent="0.25">
      <c r="A940" t="s">
        <v>2461</v>
      </c>
      <c r="B940" s="1">
        <v>45290</v>
      </c>
      <c r="D940" s="1">
        <v>45634</v>
      </c>
      <c r="E940">
        <v>33498.9</v>
      </c>
      <c r="F940">
        <f t="shared" si="43"/>
        <v>2023</v>
      </c>
      <c r="G940">
        <f t="shared" si="44"/>
        <v>2024</v>
      </c>
      <c r="H940">
        <f t="shared" si="42"/>
        <v>1</v>
      </c>
    </row>
    <row r="941" spans="1:8" x14ac:dyDescent="0.25">
      <c r="A941" t="s">
        <v>2560</v>
      </c>
      <c r="B941" s="1">
        <v>44992</v>
      </c>
      <c r="C941" s="1">
        <v>45065</v>
      </c>
      <c r="D941" s="1">
        <v>45265</v>
      </c>
      <c r="E941">
        <v>61179.66</v>
      </c>
      <c r="F941">
        <f t="shared" si="43"/>
        <v>2023</v>
      </c>
      <c r="G941">
        <f t="shared" si="44"/>
        <v>2023</v>
      </c>
      <c r="H941">
        <f t="shared" si="42"/>
        <v>0</v>
      </c>
    </row>
    <row r="942" spans="1:8" x14ac:dyDescent="0.25">
      <c r="A942" t="s">
        <v>2711</v>
      </c>
      <c r="B942" s="1">
        <v>45482</v>
      </c>
      <c r="C942" s="1">
        <v>45496</v>
      </c>
      <c r="D942" s="1">
        <v>45607</v>
      </c>
      <c r="E942">
        <v>44550.35</v>
      </c>
      <c r="F942">
        <f t="shared" si="43"/>
        <v>2024</v>
      </c>
      <c r="G942">
        <f t="shared" si="44"/>
        <v>2024</v>
      </c>
      <c r="H942">
        <f t="shared" si="42"/>
        <v>0</v>
      </c>
    </row>
    <row r="943" spans="1:8" x14ac:dyDescent="0.25">
      <c r="A943" t="s">
        <v>2626</v>
      </c>
      <c r="B943" s="1">
        <v>45035</v>
      </c>
      <c r="C943" s="1">
        <v>45111</v>
      </c>
      <c r="D943" s="1">
        <v>45286</v>
      </c>
      <c r="E943">
        <v>84531.14</v>
      </c>
      <c r="F943">
        <f t="shared" si="43"/>
        <v>2023</v>
      </c>
      <c r="G943">
        <f t="shared" si="44"/>
        <v>2023</v>
      </c>
      <c r="H943">
        <f t="shared" si="42"/>
        <v>0</v>
      </c>
    </row>
    <row r="944" spans="1:8" x14ac:dyDescent="0.25">
      <c r="A944" t="s">
        <v>2561</v>
      </c>
      <c r="B944" s="1">
        <v>44114</v>
      </c>
      <c r="C944" s="1">
        <v>44117</v>
      </c>
      <c r="D944" s="1">
        <v>44454</v>
      </c>
      <c r="E944">
        <v>19665.759999999998</v>
      </c>
      <c r="F944">
        <f t="shared" si="43"/>
        <v>2020</v>
      </c>
      <c r="G944">
        <f t="shared" si="44"/>
        <v>2021</v>
      </c>
      <c r="H944">
        <f t="shared" si="42"/>
        <v>1</v>
      </c>
    </row>
    <row r="945" spans="1:8" x14ac:dyDescent="0.25">
      <c r="A945" t="s">
        <v>2610</v>
      </c>
      <c r="B945" s="1">
        <v>45358</v>
      </c>
      <c r="C945" s="1">
        <v>45369</v>
      </c>
      <c r="D945" s="1">
        <v>45531</v>
      </c>
      <c r="E945">
        <v>26056.91</v>
      </c>
      <c r="F945">
        <f t="shared" si="43"/>
        <v>2024</v>
      </c>
      <c r="G945">
        <f t="shared" si="44"/>
        <v>2024</v>
      </c>
      <c r="H945">
        <f t="shared" si="42"/>
        <v>0</v>
      </c>
    </row>
    <row r="946" spans="1:8" x14ac:dyDescent="0.25">
      <c r="A946" t="s">
        <v>2469</v>
      </c>
      <c r="B946" s="1">
        <v>44075</v>
      </c>
      <c r="C946" s="1">
        <v>44145</v>
      </c>
      <c r="D946" s="1">
        <v>44223</v>
      </c>
      <c r="E946">
        <v>-12469.08</v>
      </c>
      <c r="F946">
        <f t="shared" si="43"/>
        <v>2020</v>
      </c>
      <c r="G946">
        <f t="shared" si="44"/>
        <v>2021</v>
      </c>
      <c r="H946">
        <f t="shared" si="42"/>
        <v>1</v>
      </c>
    </row>
    <row r="947" spans="1:8" x14ac:dyDescent="0.25">
      <c r="A947" t="s">
        <v>2405</v>
      </c>
      <c r="B947" s="1">
        <v>44167</v>
      </c>
      <c r="C947" s="1">
        <v>44248</v>
      </c>
      <c r="D947" s="1">
        <v>44719</v>
      </c>
      <c r="E947">
        <v>49112.72</v>
      </c>
      <c r="F947">
        <f t="shared" si="43"/>
        <v>2020</v>
      </c>
      <c r="G947">
        <f t="shared" si="44"/>
        <v>2022</v>
      </c>
      <c r="H947">
        <f t="shared" si="42"/>
        <v>2</v>
      </c>
    </row>
    <row r="948" spans="1:8" x14ac:dyDescent="0.25">
      <c r="A948" t="s">
        <v>2387</v>
      </c>
      <c r="B948" s="1">
        <v>43854</v>
      </c>
      <c r="C948" s="1">
        <v>43941</v>
      </c>
      <c r="D948" s="1">
        <v>44463</v>
      </c>
      <c r="E948">
        <v>57373.57</v>
      </c>
      <c r="F948">
        <f t="shared" si="43"/>
        <v>2020</v>
      </c>
      <c r="G948">
        <f t="shared" si="44"/>
        <v>2021</v>
      </c>
      <c r="H948">
        <f t="shared" si="42"/>
        <v>1</v>
      </c>
    </row>
    <row r="949" spans="1:8" x14ac:dyDescent="0.25">
      <c r="A949" t="s">
        <v>2601</v>
      </c>
      <c r="B949" s="1">
        <v>45598</v>
      </c>
      <c r="C949" s="1">
        <v>45600</v>
      </c>
      <c r="D949" s="1">
        <v>45677</v>
      </c>
      <c r="E949">
        <v>67318.559999999998</v>
      </c>
      <c r="F949">
        <f t="shared" si="43"/>
        <v>2024</v>
      </c>
      <c r="G949">
        <f t="shared" si="44"/>
        <v>2025</v>
      </c>
      <c r="H949">
        <f t="shared" si="42"/>
        <v>1</v>
      </c>
    </row>
    <row r="950" spans="1:8" x14ac:dyDescent="0.25">
      <c r="A950" t="s">
        <v>2712</v>
      </c>
      <c r="B950" s="1">
        <v>44894</v>
      </c>
      <c r="C950" s="1">
        <v>44930</v>
      </c>
      <c r="D950" s="1">
        <v>45493</v>
      </c>
      <c r="E950">
        <v>75435.960000000006</v>
      </c>
      <c r="F950">
        <f t="shared" si="43"/>
        <v>2022</v>
      </c>
      <c r="G950">
        <f t="shared" si="44"/>
        <v>2024</v>
      </c>
      <c r="H950">
        <f t="shared" si="42"/>
        <v>2</v>
      </c>
    </row>
    <row r="951" spans="1:8" x14ac:dyDescent="0.25">
      <c r="A951" t="s">
        <v>2713</v>
      </c>
      <c r="B951" s="1">
        <v>45050</v>
      </c>
      <c r="C951" s="1">
        <v>45055</v>
      </c>
      <c r="D951" s="1">
        <v>45211</v>
      </c>
      <c r="E951">
        <v>33091.56</v>
      </c>
      <c r="F951">
        <f t="shared" si="43"/>
        <v>2023</v>
      </c>
      <c r="G951">
        <f t="shared" si="44"/>
        <v>2023</v>
      </c>
      <c r="H951">
        <f t="shared" si="42"/>
        <v>0</v>
      </c>
    </row>
    <row r="952" spans="1:8" x14ac:dyDescent="0.25">
      <c r="A952" t="s">
        <v>2442</v>
      </c>
      <c r="B952" s="1">
        <v>44427</v>
      </c>
      <c r="C952" s="1">
        <v>44462</v>
      </c>
      <c r="D952" s="1">
        <v>44779</v>
      </c>
      <c r="E952">
        <v>78210.899999999994</v>
      </c>
      <c r="F952">
        <f t="shared" si="43"/>
        <v>2021</v>
      </c>
      <c r="G952">
        <f t="shared" si="44"/>
        <v>2022</v>
      </c>
      <c r="H952">
        <f t="shared" si="42"/>
        <v>1</v>
      </c>
    </row>
    <row r="953" spans="1:8" x14ac:dyDescent="0.25">
      <c r="A953" t="s">
        <v>2714</v>
      </c>
      <c r="B953" s="1">
        <v>45498</v>
      </c>
      <c r="C953" s="1">
        <v>45549</v>
      </c>
      <c r="D953" s="1">
        <v>45637</v>
      </c>
      <c r="E953">
        <v>8348.26</v>
      </c>
      <c r="F953">
        <f t="shared" si="43"/>
        <v>2024</v>
      </c>
      <c r="G953">
        <f t="shared" si="44"/>
        <v>2024</v>
      </c>
      <c r="H953">
        <f t="shared" si="42"/>
        <v>0</v>
      </c>
    </row>
    <row r="954" spans="1:8" x14ac:dyDescent="0.25">
      <c r="A954" t="s">
        <v>2369</v>
      </c>
      <c r="B954" s="1">
        <v>43902</v>
      </c>
      <c r="C954" s="1">
        <v>43977</v>
      </c>
      <c r="D954" s="1">
        <v>44039</v>
      </c>
      <c r="E954">
        <v>36011.440000000002</v>
      </c>
      <c r="F954">
        <f t="shared" si="43"/>
        <v>2020</v>
      </c>
      <c r="G954">
        <f t="shared" si="44"/>
        <v>2020</v>
      </c>
      <c r="H954">
        <f t="shared" si="42"/>
        <v>0</v>
      </c>
    </row>
    <row r="955" spans="1:8" x14ac:dyDescent="0.25">
      <c r="A955" t="s">
        <v>2715</v>
      </c>
      <c r="B955" s="1">
        <v>45434</v>
      </c>
      <c r="C955" s="1">
        <v>45443</v>
      </c>
      <c r="D955" s="1">
        <v>45748</v>
      </c>
      <c r="E955">
        <v>28878.03</v>
      </c>
      <c r="F955">
        <f t="shared" si="43"/>
        <v>2024</v>
      </c>
      <c r="G955">
        <f t="shared" si="44"/>
        <v>2025</v>
      </c>
      <c r="H955">
        <f t="shared" si="42"/>
        <v>1</v>
      </c>
    </row>
    <row r="956" spans="1:8" x14ac:dyDescent="0.25">
      <c r="A956" t="s">
        <v>2225</v>
      </c>
      <c r="B956" s="1">
        <v>44040</v>
      </c>
      <c r="C956" s="1">
        <v>44050</v>
      </c>
      <c r="D956" s="1">
        <v>44284</v>
      </c>
      <c r="E956">
        <v>78824.740000000005</v>
      </c>
      <c r="F956">
        <f t="shared" si="43"/>
        <v>2020</v>
      </c>
      <c r="G956">
        <f t="shared" si="44"/>
        <v>2021</v>
      </c>
      <c r="H956">
        <f t="shared" si="42"/>
        <v>1</v>
      </c>
    </row>
    <row r="957" spans="1:8" x14ac:dyDescent="0.25">
      <c r="A957" t="s">
        <v>2716</v>
      </c>
      <c r="B957" s="1">
        <v>45337</v>
      </c>
      <c r="C957" s="1">
        <v>45424</v>
      </c>
      <c r="D957" s="1">
        <v>45590</v>
      </c>
      <c r="E957">
        <v>46093.69</v>
      </c>
      <c r="F957">
        <f t="shared" si="43"/>
        <v>2024</v>
      </c>
      <c r="G957">
        <f t="shared" si="44"/>
        <v>2024</v>
      </c>
      <c r="H957">
        <f t="shared" si="42"/>
        <v>0</v>
      </c>
    </row>
    <row r="958" spans="1:8" x14ac:dyDescent="0.25">
      <c r="A958" t="s">
        <v>2324</v>
      </c>
      <c r="B958" s="1">
        <v>44532</v>
      </c>
      <c r="C958" s="1">
        <v>44607</v>
      </c>
      <c r="D958" s="1">
        <v>44623</v>
      </c>
      <c r="E958">
        <v>7250.33</v>
      </c>
      <c r="F958">
        <f t="shared" si="43"/>
        <v>2021</v>
      </c>
      <c r="G958">
        <f t="shared" si="44"/>
        <v>2022</v>
      </c>
      <c r="H958">
        <f t="shared" si="42"/>
        <v>1</v>
      </c>
    </row>
    <row r="959" spans="1:8" x14ac:dyDescent="0.25">
      <c r="A959" t="s">
        <v>2717</v>
      </c>
      <c r="B959" s="1">
        <v>44032</v>
      </c>
      <c r="C959" s="1">
        <v>44107</v>
      </c>
      <c r="D959" s="1">
        <v>44391</v>
      </c>
      <c r="E959">
        <v>7906.67</v>
      </c>
      <c r="F959">
        <f t="shared" si="43"/>
        <v>2020</v>
      </c>
      <c r="G959">
        <f t="shared" si="44"/>
        <v>2021</v>
      </c>
      <c r="H959">
        <f t="shared" si="42"/>
        <v>1</v>
      </c>
    </row>
    <row r="960" spans="1:8" x14ac:dyDescent="0.25">
      <c r="A960" t="s">
        <v>2718</v>
      </c>
      <c r="B960" s="1">
        <v>43953</v>
      </c>
      <c r="C960" s="1">
        <v>44001</v>
      </c>
      <c r="D960" s="1">
        <v>44410</v>
      </c>
      <c r="E960">
        <v>52158.25</v>
      </c>
      <c r="F960">
        <f t="shared" si="43"/>
        <v>2020</v>
      </c>
      <c r="G960">
        <f t="shared" si="44"/>
        <v>2021</v>
      </c>
      <c r="H960">
        <f t="shared" si="42"/>
        <v>1</v>
      </c>
    </row>
    <row r="961" spans="1:8" x14ac:dyDescent="0.25">
      <c r="A961" t="s">
        <v>2687</v>
      </c>
      <c r="B961" s="1">
        <v>44948</v>
      </c>
      <c r="C961" s="1">
        <v>45007</v>
      </c>
      <c r="D961" s="1">
        <v>45306</v>
      </c>
      <c r="E961">
        <v>63379.05</v>
      </c>
      <c r="F961">
        <f t="shared" si="43"/>
        <v>2023</v>
      </c>
      <c r="G961">
        <f t="shared" si="44"/>
        <v>2024</v>
      </c>
      <c r="H961">
        <f t="shared" si="42"/>
        <v>1</v>
      </c>
    </row>
    <row r="962" spans="1:8" x14ac:dyDescent="0.25">
      <c r="A962" t="s">
        <v>2690</v>
      </c>
      <c r="B962" s="1">
        <v>45502</v>
      </c>
      <c r="C962" s="1">
        <v>45558</v>
      </c>
      <c r="D962" s="1">
        <v>45650</v>
      </c>
      <c r="E962">
        <v>66113.34</v>
      </c>
      <c r="F962">
        <f t="shared" si="43"/>
        <v>2024</v>
      </c>
      <c r="G962">
        <f t="shared" si="44"/>
        <v>2024</v>
      </c>
      <c r="H962">
        <f t="shared" ref="H962:H1025" si="45">MAX(0,G962-F962)</f>
        <v>0</v>
      </c>
    </row>
    <row r="963" spans="1:8" x14ac:dyDescent="0.25">
      <c r="A963" t="s">
        <v>2165</v>
      </c>
      <c r="B963" s="1">
        <v>44924</v>
      </c>
      <c r="C963" s="1">
        <v>44956</v>
      </c>
      <c r="D963" s="1">
        <v>45556</v>
      </c>
      <c r="E963">
        <v>36964.559999999998</v>
      </c>
      <c r="F963">
        <f t="shared" ref="F963:F1026" si="46">YEAR(B963)</f>
        <v>2022</v>
      </c>
      <c r="G963">
        <f t="shared" ref="G963:G1026" si="47">YEAR(D963)</f>
        <v>2024</v>
      </c>
      <c r="H963">
        <f t="shared" si="45"/>
        <v>2</v>
      </c>
    </row>
    <row r="964" spans="1:8" x14ac:dyDescent="0.25">
      <c r="A964" t="s">
        <v>2642</v>
      </c>
      <c r="B964" s="1">
        <v>44084</v>
      </c>
      <c r="C964" s="1">
        <v>44168</v>
      </c>
      <c r="D964" s="1">
        <v>44307</v>
      </c>
      <c r="E964">
        <v>4248.8</v>
      </c>
      <c r="F964">
        <f t="shared" si="46"/>
        <v>2020</v>
      </c>
      <c r="G964">
        <f t="shared" si="47"/>
        <v>2021</v>
      </c>
      <c r="H964">
        <f t="shared" si="45"/>
        <v>1</v>
      </c>
    </row>
    <row r="965" spans="1:8" x14ac:dyDescent="0.25">
      <c r="A965" t="s">
        <v>2542</v>
      </c>
      <c r="B965" s="1">
        <v>44605</v>
      </c>
      <c r="C965" s="1">
        <v>44631</v>
      </c>
      <c r="D965" s="1">
        <v>44966</v>
      </c>
      <c r="E965">
        <v>3674.98</v>
      </c>
      <c r="F965">
        <f t="shared" si="46"/>
        <v>2022</v>
      </c>
      <c r="G965">
        <f t="shared" si="47"/>
        <v>2023</v>
      </c>
      <c r="H965">
        <f t="shared" si="45"/>
        <v>1</v>
      </c>
    </row>
    <row r="966" spans="1:8" x14ac:dyDescent="0.25">
      <c r="A966" t="s">
        <v>2612</v>
      </c>
      <c r="B966" s="1">
        <v>45392</v>
      </c>
      <c r="C966" s="1">
        <v>45462</v>
      </c>
      <c r="D966" s="1">
        <v>45644</v>
      </c>
      <c r="E966">
        <v>62753.59</v>
      </c>
      <c r="F966">
        <f t="shared" si="46"/>
        <v>2024</v>
      </c>
      <c r="G966">
        <f t="shared" si="47"/>
        <v>2024</v>
      </c>
      <c r="H966">
        <f t="shared" si="45"/>
        <v>0</v>
      </c>
    </row>
    <row r="967" spans="1:8" x14ac:dyDescent="0.25">
      <c r="A967" t="s">
        <v>2181</v>
      </c>
      <c r="B967" s="1">
        <v>45063</v>
      </c>
      <c r="C967" s="1">
        <v>45132</v>
      </c>
      <c r="D967" s="1">
        <v>45321</v>
      </c>
      <c r="E967">
        <v>81135.11</v>
      </c>
      <c r="F967">
        <f t="shared" si="46"/>
        <v>2023</v>
      </c>
      <c r="G967">
        <f t="shared" si="47"/>
        <v>2024</v>
      </c>
      <c r="H967">
        <f t="shared" si="45"/>
        <v>1</v>
      </c>
    </row>
    <row r="968" spans="1:8" x14ac:dyDescent="0.25">
      <c r="A968" t="s">
        <v>2205</v>
      </c>
      <c r="B968" s="1">
        <v>44017</v>
      </c>
      <c r="C968" s="1">
        <v>44058</v>
      </c>
      <c r="D968" s="1">
        <v>44376</v>
      </c>
      <c r="E968">
        <v>76052.63</v>
      </c>
      <c r="F968">
        <f t="shared" si="46"/>
        <v>2020</v>
      </c>
      <c r="G968">
        <f t="shared" si="47"/>
        <v>2021</v>
      </c>
      <c r="H968">
        <f t="shared" si="45"/>
        <v>1</v>
      </c>
    </row>
    <row r="969" spans="1:8" x14ac:dyDescent="0.25">
      <c r="A969" t="s">
        <v>2267</v>
      </c>
      <c r="B969" s="1">
        <v>45051</v>
      </c>
      <c r="C969" s="1">
        <v>45139</v>
      </c>
      <c r="D969" s="1">
        <v>45508</v>
      </c>
      <c r="E969">
        <v>-14063.7</v>
      </c>
      <c r="F969">
        <f t="shared" si="46"/>
        <v>2023</v>
      </c>
      <c r="G969">
        <f t="shared" si="47"/>
        <v>2024</v>
      </c>
      <c r="H969">
        <f t="shared" si="45"/>
        <v>1</v>
      </c>
    </row>
    <row r="970" spans="1:8" x14ac:dyDescent="0.25">
      <c r="A970" t="s">
        <v>2303</v>
      </c>
      <c r="B970" s="1">
        <v>44927</v>
      </c>
      <c r="C970" s="1">
        <v>44966</v>
      </c>
      <c r="D970" s="1">
        <v>45233</v>
      </c>
      <c r="E970">
        <v>77986.63</v>
      </c>
      <c r="F970">
        <f t="shared" si="46"/>
        <v>2023</v>
      </c>
      <c r="G970">
        <f t="shared" si="47"/>
        <v>2023</v>
      </c>
      <c r="H970">
        <f t="shared" si="45"/>
        <v>0</v>
      </c>
    </row>
    <row r="971" spans="1:8" x14ac:dyDescent="0.25">
      <c r="A971" t="s">
        <v>2691</v>
      </c>
      <c r="B971" s="1">
        <v>44101</v>
      </c>
      <c r="C971" s="1">
        <v>44144</v>
      </c>
      <c r="D971" s="1">
        <v>44438</v>
      </c>
      <c r="E971">
        <v>82106.31</v>
      </c>
      <c r="F971">
        <f t="shared" si="46"/>
        <v>2020</v>
      </c>
      <c r="G971">
        <f t="shared" si="47"/>
        <v>2021</v>
      </c>
      <c r="H971">
        <f t="shared" si="45"/>
        <v>1</v>
      </c>
    </row>
    <row r="972" spans="1:8" x14ac:dyDescent="0.25">
      <c r="A972" t="s">
        <v>2250</v>
      </c>
      <c r="B972" s="1">
        <v>43958</v>
      </c>
      <c r="C972" s="1">
        <v>44030</v>
      </c>
      <c r="D972" s="1">
        <v>44329</v>
      </c>
      <c r="E972">
        <v>-8300.73</v>
      </c>
      <c r="F972">
        <f t="shared" si="46"/>
        <v>2020</v>
      </c>
      <c r="G972">
        <f t="shared" si="47"/>
        <v>2021</v>
      </c>
      <c r="H972">
        <f t="shared" si="45"/>
        <v>1</v>
      </c>
    </row>
    <row r="973" spans="1:8" x14ac:dyDescent="0.25">
      <c r="A973" t="s">
        <v>2637</v>
      </c>
      <c r="B973" s="1">
        <v>44226</v>
      </c>
      <c r="C973" s="1">
        <v>44269</v>
      </c>
      <c r="D973" s="1">
        <v>44836</v>
      </c>
      <c r="E973">
        <v>13187.83</v>
      </c>
      <c r="F973">
        <f t="shared" si="46"/>
        <v>2021</v>
      </c>
      <c r="G973">
        <f t="shared" si="47"/>
        <v>2022</v>
      </c>
      <c r="H973">
        <f t="shared" si="45"/>
        <v>1</v>
      </c>
    </row>
    <row r="974" spans="1:8" x14ac:dyDescent="0.25">
      <c r="A974" t="s">
        <v>2232</v>
      </c>
      <c r="B974" s="1">
        <v>45197</v>
      </c>
      <c r="C974" s="1">
        <v>45270</v>
      </c>
      <c r="D974" s="1">
        <v>45538</v>
      </c>
      <c r="E974">
        <v>39018.68</v>
      </c>
      <c r="F974">
        <f t="shared" si="46"/>
        <v>2023</v>
      </c>
      <c r="G974">
        <f t="shared" si="47"/>
        <v>2024</v>
      </c>
      <c r="H974">
        <f t="shared" si="45"/>
        <v>1</v>
      </c>
    </row>
    <row r="975" spans="1:8" x14ac:dyDescent="0.25">
      <c r="A975" t="s">
        <v>2563</v>
      </c>
      <c r="B975" s="1">
        <v>44474</v>
      </c>
      <c r="C975" s="1">
        <v>44534</v>
      </c>
      <c r="D975" s="1">
        <v>44658</v>
      </c>
      <c r="E975">
        <v>42386.54</v>
      </c>
      <c r="F975">
        <f t="shared" si="46"/>
        <v>2021</v>
      </c>
      <c r="G975">
        <f t="shared" si="47"/>
        <v>2022</v>
      </c>
      <c r="H975">
        <f t="shared" si="45"/>
        <v>1</v>
      </c>
    </row>
    <row r="976" spans="1:8" x14ac:dyDescent="0.25">
      <c r="A976" t="s">
        <v>2632</v>
      </c>
      <c r="B976" s="1">
        <v>44571</v>
      </c>
      <c r="C976" s="1">
        <v>44629</v>
      </c>
      <c r="D976" s="1">
        <v>44864</v>
      </c>
      <c r="E976">
        <v>18925.96</v>
      </c>
      <c r="F976">
        <f t="shared" si="46"/>
        <v>2022</v>
      </c>
      <c r="G976">
        <f t="shared" si="47"/>
        <v>2022</v>
      </c>
      <c r="H976">
        <f t="shared" si="45"/>
        <v>0</v>
      </c>
    </row>
    <row r="977" spans="1:8" x14ac:dyDescent="0.25">
      <c r="A977" t="s">
        <v>2481</v>
      </c>
      <c r="B977" s="1">
        <v>43839</v>
      </c>
      <c r="C977" s="1">
        <v>43850</v>
      </c>
      <c r="D977" s="1">
        <v>44506</v>
      </c>
      <c r="E977">
        <v>65456.17</v>
      </c>
      <c r="F977">
        <f t="shared" si="46"/>
        <v>2020</v>
      </c>
      <c r="G977">
        <f t="shared" si="47"/>
        <v>2021</v>
      </c>
      <c r="H977">
        <f t="shared" si="45"/>
        <v>1</v>
      </c>
    </row>
    <row r="978" spans="1:8" x14ac:dyDescent="0.25">
      <c r="A978" t="s">
        <v>2236</v>
      </c>
      <c r="B978" s="1">
        <v>45218</v>
      </c>
      <c r="C978" s="1">
        <v>45266</v>
      </c>
      <c r="D978" s="1">
        <v>45494</v>
      </c>
      <c r="E978">
        <v>38789.47</v>
      </c>
      <c r="F978">
        <f t="shared" si="46"/>
        <v>2023</v>
      </c>
      <c r="G978">
        <f t="shared" si="47"/>
        <v>2024</v>
      </c>
      <c r="H978">
        <f t="shared" si="45"/>
        <v>1</v>
      </c>
    </row>
    <row r="979" spans="1:8" x14ac:dyDescent="0.25">
      <c r="A979" t="s">
        <v>2574</v>
      </c>
      <c r="B979" s="1">
        <v>44566</v>
      </c>
      <c r="C979" s="1">
        <v>44610</v>
      </c>
      <c r="D979" s="1">
        <v>44630</v>
      </c>
      <c r="E979">
        <v>-12607.94</v>
      </c>
      <c r="F979">
        <f t="shared" si="46"/>
        <v>2022</v>
      </c>
      <c r="G979">
        <f t="shared" si="47"/>
        <v>2022</v>
      </c>
      <c r="H979">
        <f t="shared" si="45"/>
        <v>0</v>
      </c>
    </row>
    <row r="980" spans="1:8" x14ac:dyDescent="0.25">
      <c r="A980" t="s">
        <v>2502</v>
      </c>
      <c r="B980" s="1">
        <v>44071</v>
      </c>
      <c r="C980" s="1">
        <v>44153</v>
      </c>
      <c r="D980" s="1">
        <v>44471</v>
      </c>
      <c r="E980">
        <v>46496.62</v>
      </c>
      <c r="F980">
        <f t="shared" si="46"/>
        <v>2020</v>
      </c>
      <c r="G980">
        <f t="shared" si="47"/>
        <v>2021</v>
      </c>
      <c r="H980">
        <f t="shared" si="45"/>
        <v>1</v>
      </c>
    </row>
    <row r="981" spans="1:8" x14ac:dyDescent="0.25">
      <c r="A981" t="s">
        <v>2707</v>
      </c>
      <c r="B981" s="1">
        <v>44669</v>
      </c>
      <c r="C981" s="1">
        <v>44747</v>
      </c>
      <c r="D981" s="1">
        <v>44826</v>
      </c>
      <c r="E981">
        <v>26426.95</v>
      </c>
      <c r="F981">
        <f t="shared" si="46"/>
        <v>2022</v>
      </c>
      <c r="G981">
        <f t="shared" si="47"/>
        <v>2022</v>
      </c>
      <c r="H981">
        <f t="shared" si="45"/>
        <v>0</v>
      </c>
    </row>
    <row r="982" spans="1:8" x14ac:dyDescent="0.25">
      <c r="A982" t="s">
        <v>2718</v>
      </c>
      <c r="B982" s="1">
        <v>43953</v>
      </c>
      <c r="C982" s="1">
        <v>44001</v>
      </c>
      <c r="D982" s="1">
        <v>44172</v>
      </c>
      <c r="E982">
        <v>58677.49</v>
      </c>
      <c r="F982">
        <f t="shared" si="46"/>
        <v>2020</v>
      </c>
      <c r="G982">
        <f t="shared" si="47"/>
        <v>2020</v>
      </c>
      <c r="H982">
        <f t="shared" si="45"/>
        <v>0</v>
      </c>
    </row>
    <row r="983" spans="1:8" x14ac:dyDescent="0.25">
      <c r="A983" t="s">
        <v>2328</v>
      </c>
      <c r="B983" s="1">
        <v>44606</v>
      </c>
      <c r="C983" s="1">
        <v>44676</v>
      </c>
      <c r="D983" s="1">
        <v>44989</v>
      </c>
      <c r="E983">
        <v>37724.93</v>
      </c>
      <c r="F983">
        <f t="shared" si="46"/>
        <v>2022</v>
      </c>
      <c r="G983">
        <f t="shared" si="47"/>
        <v>2023</v>
      </c>
      <c r="H983">
        <f t="shared" si="45"/>
        <v>1</v>
      </c>
    </row>
    <row r="984" spans="1:8" x14ac:dyDescent="0.25">
      <c r="A984" t="s">
        <v>2405</v>
      </c>
      <c r="B984" s="1">
        <v>44167</v>
      </c>
      <c r="C984" s="1">
        <v>44248</v>
      </c>
      <c r="D984" s="1">
        <v>44593</v>
      </c>
      <c r="E984">
        <v>41450.449999999997</v>
      </c>
      <c r="F984">
        <f t="shared" si="46"/>
        <v>2020</v>
      </c>
      <c r="G984">
        <f t="shared" si="47"/>
        <v>2022</v>
      </c>
      <c r="H984">
        <f t="shared" si="45"/>
        <v>2</v>
      </c>
    </row>
    <row r="985" spans="1:8" x14ac:dyDescent="0.25">
      <c r="A985" t="s">
        <v>2423</v>
      </c>
      <c r="B985" s="1">
        <v>44615</v>
      </c>
      <c r="C985" s="1">
        <v>44677</v>
      </c>
      <c r="D985" s="1">
        <v>45186</v>
      </c>
      <c r="E985">
        <v>33338.85</v>
      </c>
      <c r="F985">
        <f t="shared" si="46"/>
        <v>2022</v>
      </c>
      <c r="G985">
        <f t="shared" si="47"/>
        <v>2023</v>
      </c>
      <c r="H985">
        <f t="shared" si="45"/>
        <v>1</v>
      </c>
    </row>
    <row r="986" spans="1:8" x14ac:dyDescent="0.25">
      <c r="A986" t="s">
        <v>2342</v>
      </c>
      <c r="B986" s="1">
        <v>44964</v>
      </c>
      <c r="C986" s="1">
        <v>45029</v>
      </c>
      <c r="D986" s="1">
        <v>45220</v>
      </c>
      <c r="E986">
        <v>4539.88</v>
      </c>
      <c r="F986">
        <f t="shared" si="46"/>
        <v>2023</v>
      </c>
      <c r="G986">
        <f t="shared" si="47"/>
        <v>2023</v>
      </c>
      <c r="H986">
        <f t="shared" si="45"/>
        <v>0</v>
      </c>
    </row>
    <row r="987" spans="1:8" x14ac:dyDescent="0.25">
      <c r="A987" t="s">
        <v>2357</v>
      </c>
      <c r="B987" s="1">
        <v>45139</v>
      </c>
      <c r="C987" s="1">
        <v>45217</v>
      </c>
      <c r="D987" s="1">
        <v>45409</v>
      </c>
      <c r="E987">
        <v>31176.23</v>
      </c>
      <c r="F987">
        <f t="shared" si="46"/>
        <v>2023</v>
      </c>
      <c r="G987">
        <f t="shared" si="47"/>
        <v>2024</v>
      </c>
      <c r="H987">
        <f t="shared" si="45"/>
        <v>1</v>
      </c>
    </row>
    <row r="988" spans="1:8" x14ac:dyDescent="0.25">
      <c r="A988" t="s">
        <v>2719</v>
      </c>
      <c r="B988" s="1">
        <v>43892</v>
      </c>
      <c r="C988" s="1">
        <v>43947</v>
      </c>
      <c r="D988" s="1">
        <v>44021</v>
      </c>
      <c r="E988">
        <v>70509.259999999995</v>
      </c>
      <c r="F988">
        <f t="shared" si="46"/>
        <v>2020</v>
      </c>
      <c r="G988">
        <f t="shared" si="47"/>
        <v>2020</v>
      </c>
      <c r="H988">
        <f t="shared" si="45"/>
        <v>0</v>
      </c>
    </row>
    <row r="989" spans="1:8" x14ac:dyDescent="0.25">
      <c r="A989" t="s">
        <v>2687</v>
      </c>
      <c r="B989" s="1">
        <v>44948</v>
      </c>
      <c r="C989" s="1">
        <v>45007</v>
      </c>
      <c r="D989" s="1">
        <v>45108</v>
      </c>
      <c r="E989">
        <v>81424.179999999993</v>
      </c>
      <c r="F989">
        <f t="shared" si="46"/>
        <v>2023</v>
      </c>
      <c r="G989">
        <f t="shared" si="47"/>
        <v>2023</v>
      </c>
      <c r="H989">
        <f t="shared" si="45"/>
        <v>0</v>
      </c>
    </row>
    <row r="990" spans="1:8" x14ac:dyDescent="0.25">
      <c r="A990" t="s">
        <v>2318</v>
      </c>
      <c r="B990" s="1">
        <v>44534</v>
      </c>
      <c r="C990" s="1">
        <v>44562</v>
      </c>
      <c r="D990" s="1">
        <v>44863</v>
      </c>
      <c r="E990">
        <v>48398.55</v>
      </c>
      <c r="F990">
        <f t="shared" si="46"/>
        <v>2021</v>
      </c>
      <c r="G990">
        <f t="shared" si="47"/>
        <v>2022</v>
      </c>
      <c r="H990">
        <f t="shared" si="45"/>
        <v>1</v>
      </c>
    </row>
    <row r="991" spans="1:8" x14ac:dyDescent="0.25">
      <c r="A991" t="s">
        <v>2720</v>
      </c>
      <c r="B991" s="1">
        <v>45543</v>
      </c>
      <c r="C991" s="1">
        <v>45614</v>
      </c>
      <c r="D991" s="1">
        <v>45732</v>
      </c>
      <c r="E991">
        <v>44204.25</v>
      </c>
      <c r="F991">
        <f t="shared" si="46"/>
        <v>2024</v>
      </c>
      <c r="G991">
        <f t="shared" si="47"/>
        <v>2025</v>
      </c>
      <c r="H991">
        <f t="shared" si="45"/>
        <v>1</v>
      </c>
    </row>
    <row r="992" spans="1:8" x14ac:dyDescent="0.25">
      <c r="A992" t="s">
        <v>2721</v>
      </c>
      <c r="B992" s="1">
        <v>44079</v>
      </c>
      <c r="C992" s="1">
        <v>44098</v>
      </c>
      <c r="D992" s="1">
        <v>44188</v>
      </c>
      <c r="E992">
        <v>38910.68</v>
      </c>
      <c r="F992">
        <f t="shared" si="46"/>
        <v>2020</v>
      </c>
      <c r="G992">
        <f t="shared" si="47"/>
        <v>2020</v>
      </c>
      <c r="H992">
        <f t="shared" si="45"/>
        <v>0</v>
      </c>
    </row>
    <row r="993" spans="1:8" x14ac:dyDescent="0.25">
      <c r="A993" t="s">
        <v>2155</v>
      </c>
      <c r="B993" s="1">
        <v>45323</v>
      </c>
      <c r="C993" s="1">
        <v>45345</v>
      </c>
      <c r="D993" s="1">
        <v>45485</v>
      </c>
      <c r="E993">
        <v>17367.43</v>
      </c>
      <c r="F993">
        <f t="shared" si="46"/>
        <v>2024</v>
      </c>
      <c r="G993">
        <f t="shared" si="47"/>
        <v>2024</v>
      </c>
      <c r="H993">
        <f t="shared" si="45"/>
        <v>0</v>
      </c>
    </row>
    <row r="994" spans="1:8" x14ac:dyDescent="0.25">
      <c r="A994" t="s">
        <v>2722</v>
      </c>
      <c r="B994" s="1">
        <v>43870</v>
      </c>
      <c r="C994" s="1">
        <v>43884</v>
      </c>
      <c r="D994" s="1">
        <v>43988</v>
      </c>
      <c r="E994">
        <v>3686.42</v>
      </c>
      <c r="F994">
        <f t="shared" si="46"/>
        <v>2020</v>
      </c>
      <c r="G994">
        <f t="shared" si="47"/>
        <v>2020</v>
      </c>
      <c r="H994">
        <f t="shared" si="45"/>
        <v>0</v>
      </c>
    </row>
    <row r="995" spans="1:8" x14ac:dyDescent="0.25">
      <c r="A995" t="s">
        <v>2723</v>
      </c>
      <c r="B995" s="1">
        <v>45526</v>
      </c>
      <c r="C995" s="1">
        <v>45597</v>
      </c>
      <c r="D995" s="1">
        <v>45793</v>
      </c>
      <c r="E995">
        <v>-2380.09</v>
      </c>
      <c r="F995">
        <f t="shared" si="46"/>
        <v>2024</v>
      </c>
      <c r="G995">
        <f t="shared" si="47"/>
        <v>2025</v>
      </c>
      <c r="H995">
        <f t="shared" si="45"/>
        <v>1</v>
      </c>
    </row>
    <row r="996" spans="1:8" x14ac:dyDescent="0.25">
      <c r="A996" t="s">
        <v>2724</v>
      </c>
      <c r="B996" s="1">
        <v>44265</v>
      </c>
      <c r="C996" s="1">
        <v>44342</v>
      </c>
      <c r="D996" s="1">
        <v>44369</v>
      </c>
      <c r="E996">
        <v>36953.43</v>
      </c>
      <c r="F996">
        <f t="shared" si="46"/>
        <v>2021</v>
      </c>
      <c r="G996">
        <f t="shared" si="47"/>
        <v>2021</v>
      </c>
      <c r="H996">
        <f t="shared" si="45"/>
        <v>0</v>
      </c>
    </row>
    <row r="997" spans="1:8" x14ac:dyDescent="0.25">
      <c r="A997" t="s">
        <v>2725</v>
      </c>
      <c r="B997" s="1">
        <v>45541</v>
      </c>
      <c r="C997" s="1">
        <v>45545</v>
      </c>
      <c r="D997" s="1">
        <v>45593</v>
      </c>
      <c r="E997">
        <v>-16753.060000000001</v>
      </c>
      <c r="F997">
        <f t="shared" si="46"/>
        <v>2024</v>
      </c>
      <c r="G997">
        <f t="shared" si="47"/>
        <v>2024</v>
      </c>
      <c r="H997">
        <f t="shared" si="45"/>
        <v>0</v>
      </c>
    </row>
    <row r="998" spans="1:8" x14ac:dyDescent="0.25">
      <c r="A998" t="s">
        <v>2429</v>
      </c>
      <c r="B998" s="1">
        <v>45396</v>
      </c>
      <c r="C998" s="1">
        <v>45455</v>
      </c>
      <c r="D998" s="1">
        <v>45682</v>
      </c>
      <c r="E998">
        <v>7472.88</v>
      </c>
      <c r="F998">
        <f t="shared" si="46"/>
        <v>2024</v>
      </c>
      <c r="G998">
        <f t="shared" si="47"/>
        <v>2025</v>
      </c>
      <c r="H998">
        <f t="shared" si="45"/>
        <v>1</v>
      </c>
    </row>
    <row r="999" spans="1:8" x14ac:dyDescent="0.25">
      <c r="A999" t="s">
        <v>2585</v>
      </c>
      <c r="B999" s="1">
        <v>44802</v>
      </c>
      <c r="C999" s="1">
        <v>44871</v>
      </c>
      <c r="D999" s="1">
        <v>45059</v>
      </c>
      <c r="E999">
        <v>23660.080000000002</v>
      </c>
      <c r="F999">
        <f t="shared" si="46"/>
        <v>2022</v>
      </c>
      <c r="G999">
        <f t="shared" si="47"/>
        <v>2023</v>
      </c>
      <c r="H999">
        <f t="shared" si="45"/>
        <v>1</v>
      </c>
    </row>
    <row r="1000" spans="1:8" x14ac:dyDescent="0.25">
      <c r="A1000" t="s">
        <v>2269</v>
      </c>
      <c r="B1000" s="1">
        <v>45205</v>
      </c>
      <c r="C1000" s="1">
        <v>45244</v>
      </c>
      <c r="D1000" s="1">
        <v>45275</v>
      </c>
      <c r="E1000">
        <v>13314.9</v>
      </c>
      <c r="F1000">
        <f t="shared" si="46"/>
        <v>2023</v>
      </c>
      <c r="G1000">
        <f t="shared" si="47"/>
        <v>2023</v>
      </c>
      <c r="H1000">
        <f t="shared" si="45"/>
        <v>0</v>
      </c>
    </row>
    <row r="1001" spans="1:8" x14ac:dyDescent="0.25">
      <c r="A1001" t="s">
        <v>2726</v>
      </c>
      <c r="B1001" s="1">
        <v>44719</v>
      </c>
      <c r="C1001" s="1">
        <v>44783</v>
      </c>
      <c r="D1001" s="1">
        <v>45169</v>
      </c>
      <c r="E1001">
        <v>72139.740000000005</v>
      </c>
      <c r="F1001">
        <f t="shared" si="46"/>
        <v>2022</v>
      </c>
      <c r="G1001">
        <f t="shared" si="47"/>
        <v>2023</v>
      </c>
      <c r="H1001">
        <f t="shared" si="45"/>
        <v>1</v>
      </c>
    </row>
    <row r="1002" spans="1:8" x14ac:dyDescent="0.25">
      <c r="A1002" t="s">
        <v>2311</v>
      </c>
      <c r="B1002" s="1">
        <v>44775</v>
      </c>
      <c r="C1002" s="1">
        <v>44835</v>
      </c>
      <c r="D1002" s="1">
        <v>45466</v>
      </c>
      <c r="E1002">
        <v>8476.14</v>
      </c>
      <c r="F1002">
        <f t="shared" si="46"/>
        <v>2022</v>
      </c>
      <c r="G1002">
        <f t="shared" si="47"/>
        <v>2024</v>
      </c>
      <c r="H1002">
        <f t="shared" si="45"/>
        <v>2</v>
      </c>
    </row>
    <row r="1003" spans="1:8" x14ac:dyDescent="0.25">
      <c r="A1003" t="s">
        <v>2637</v>
      </c>
      <c r="B1003" s="1">
        <v>44226</v>
      </c>
      <c r="C1003" s="1">
        <v>44269</v>
      </c>
      <c r="D1003" s="1">
        <v>44458</v>
      </c>
      <c r="E1003">
        <v>42298.65</v>
      </c>
      <c r="F1003">
        <f t="shared" si="46"/>
        <v>2021</v>
      </c>
      <c r="G1003">
        <f t="shared" si="47"/>
        <v>2021</v>
      </c>
      <c r="H1003">
        <f t="shared" si="45"/>
        <v>0</v>
      </c>
    </row>
    <row r="1004" spans="1:8" x14ac:dyDescent="0.25">
      <c r="A1004" t="s">
        <v>2331</v>
      </c>
      <c r="B1004" s="1">
        <v>44250</v>
      </c>
      <c r="C1004" s="1">
        <v>44251</v>
      </c>
      <c r="D1004" s="1">
        <v>44448</v>
      </c>
      <c r="E1004">
        <v>48746</v>
      </c>
      <c r="F1004">
        <f t="shared" si="46"/>
        <v>2021</v>
      </c>
      <c r="G1004">
        <f t="shared" si="47"/>
        <v>2021</v>
      </c>
      <c r="H1004">
        <f t="shared" si="45"/>
        <v>0</v>
      </c>
    </row>
    <row r="1005" spans="1:8" x14ac:dyDescent="0.25">
      <c r="A1005" t="s">
        <v>2425</v>
      </c>
      <c r="B1005" s="1">
        <v>44829</v>
      </c>
      <c r="C1005" s="1">
        <v>44854</v>
      </c>
      <c r="D1005" s="1">
        <v>45351</v>
      </c>
      <c r="E1005">
        <v>60188.42</v>
      </c>
      <c r="F1005">
        <f t="shared" si="46"/>
        <v>2022</v>
      </c>
      <c r="G1005">
        <f t="shared" si="47"/>
        <v>2024</v>
      </c>
      <c r="H1005">
        <f t="shared" si="45"/>
        <v>2</v>
      </c>
    </row>
    <row r="1006" spans="1:8" x14ac:dyDescent="0.25">
      <c r="A1006" t="s">
        <v>2727</v>
      </c>
      <c r="B1006" s="1">
        <v>44037</v>
      </c>
      <c r="C1006" s="1">
        <v>44058</v>
      </c>
      <c r="D1006" s="1">
        <v>44229</v>
      </c>
      <c r="E1006">
        <v>12551.65</v>
      </c>
      <c r="F1006">
        <f t="shared" si="46"/>
        <v>2020</v>
      </c>
      <c r="G1006">
        <f t="shared" si="47"/>
        <v>2021</v>
      </c>
      <c r="H1006">
        <f t="shared" si="45"/>
        <v>1</v>
      </c>
    </row>
    <row r="1007" spans="1:8" x14ac:dyDescent="0.25">
      <c r="A1007" t="s">
        <v>2728</v>
      </c>
      <c r="B1007" s="1">
        <v>44534</v>
      </c>
      <c r="C1007" s="1">
        <v>44592</v>
      </c>
      <c r="D1007" s="1">
        <v>45271</v>
      </c>
      <c r="E1007">
        <v>51305.77</v>
      </c>
      <c r="F1007">
        <f t="shared" si="46"/>
        <v>2021</v>
      </c>
      <c r="G1007">
        <f t="shared" si="47"/>
        <v>2023</v>
      </c>
      <c r="H1007">
        <f t="shared" si="45"/>
        <v>2</v>
      </c>
    </row>
    <row r="1008" spans="1:8" x14ac:dyDescent="0.25">
      <c r="A1008" t="s">
        <v>2517</v>
      </c>
      <c r="B1008" s="1">
        <v>44628</v>
      </c>
      <c r="C1008" s="1">
        <v>44691</v>
      </c>
      <c r="D1008" s="1">
        <v>45329</v>
      </c>
      <c r="E1008">
        <v>40875.64</v>
      </c>
      <c r="F1008">
        <f t="shared" si="46"/>
        <v>2022</v>
      </c>
      <c r="G1008">
        <f t="shared" si="47"/>
        <v>2024</v>
      </c>
      <c r="H1008">
        <f t="shared" si="45"/>
        <v>2</v>
      </c>
    </row>
    <row r="1009" spans="1:8" x14ac:dyDescent="0.25">
      <c r="A1009" t="s">
        <v>2728</v>
      </c>
      <c r="B1009" s="1">
        <v>44534</v>
      </c>
      <c r="C1009" s="1">
        <v>44592</v>
      </c>
      <c r="D1009" s="1">
        <v>44774</v>
      </c>
      <c r="E1009">
        <v>65723.22</v>
      </c>
      <c r="F1009">
        <f t="shared" si="46"/>
        <v>2021</v>
      </c>
      <c r="G1009">
        <f t="shared" si="47"/>
        <v>2022</v>
      </c>
      <c r="H1009">
        <f t="shared" si="45"/>
        <v>1</v>
      </c>
    </row>
    <row r="1010" spans="1:8" x14ac:dyDescent="0.25">
      <c r="A1010" t="s">
        <v>2729</v>
      </c>
      <c r="B1010" s="1">
        <v>45021</v>
      </c>
      <c r="C1010" s="1">
        <v>45041</v>
      </c>
      <c r="D1010" s="1">
        <v>45132</v>
      </c>
      <c r="E1010">
        <v>40506.480000000003</v>
      </c>
      <c r="F1010">
        <f t="shared" si="46"/>
        <v>2023</v>
      </c>
      <c r="G1010">
        <f t="shared" si="47"/>
        <v>2023</v>
      </c>
      <c r="H1010">
        <f t="shared" si="45"/>
        <v>0</v>
      </c>
    </row>
    <row r="1011" spans="1:8" x14ac:dyDescent="0.25">
      <c r="A1011" t="s">
        <v>2541</v>
      </c>
      <c r="B1011" s="1">
        <v>44890</v>
      </c>
      <c r="C1011" s="1">
        <v>44904</v>
      </c>
      <c r="D1011" s="1">
        <v>45382</v>
      </c>
      <c r="E1011">
        <v>4719.78</v>
      </c>
      <c r="F1011">
        <f t="shared" si="46"/>
        <v>2022</v>
      </c>
      <c r="G1011">
        <f t="shared" si="47"/>
        <v>2024</v>
      </c>
      <c r="H1011">
        <f t="shared" si="45"/>
        <v>2</v>
      </c>
    </row>
    <row r="1012" spans="1:8" x14ac:dyDescent="0.25">
      <c r="A1012" t="s">
        <v>2197</v>
      </c>
      <c r="B1012" s="1">
        <v>45473</v>
      </c>
      <c r="C1012" s="1">
        <v>45481</v>
      </c>
      <c r="D1012" s="1">
        <v>45626</v>
      </c>
      <c r="E1012">
        <v>83508.95</v>
      </c>
      <c r="F1012">
        <f t="shared" si="46"/>
        <v>2024</v>
      </c>
      <c r="G1012">
        <f t="shared" si="47"/>
        <v>2024</v>
      </c>
      <c r="H1012">
        <f t="shared" si="45"/>
        <v>0</v>
      </c>
    </row>
    <row r="1013" spans="1:8" x14ac:dyDescent="0.25">
      <c r="A1013" t="s">
        <v>2194</v>
      </c>
      <c r="B1013" s="1">
        <v>45191</v>
      </c>
      <c r="C1013" s="1">
        <v>45238</v>
      </c>
      <c r="D1013" s="1">
        <v>45733</v>
      </c>
      <c r="E1013">
        <v>68189.61</v>
      </c>
      <c r="F1013">
        <f t="shared" si="46"/>
        <v>2023</v>
      </c>
      <c r="G1013">
        <f t="shared" si="47"/>
        <v>2025</v>
      </c>
      <c r="H1013">
        <f t="shared" si="45"/>
        <v>2</v>
      </c>
    </row>
    <row r="1014" spans="1:8" x14ac:dyDescent="0.25">
      <c r="A1014" t="s">
        <v>2726</v>
      </c>
      <c r="B1014" s="1">
        <v>44719</v>
      </c>
      <c r="C1014" s="1">
        <v>44783</v>
      </c>
      <c r="D1014" s="1">
        <v>44970</v>
      </c>
      <c r="E1014">
        <v>48076.82</v>
      </c>
      <c r="F1014">
        <f t="shared" si="46"/>
        <v>2022</v>
      </c>
      <c r="G1014">
        <f t="shared" si="47"/>
        <v>2023</v>
      </c>
      <c r="H1014">
        <f t="shared" si="45"/>
        <v>1</v>
      </c>
    </row>
    <row r="1015" spans="1:8" x14ac:dyDescent="0.25">
      <c r="A1015" t="s">
        <v>2680</v>
      </c>
      <c r="B1015" s="1">
        <v>44849</v>
      </c>
      <c r="D1015" s="1">
        <v>45442</v>
      </c>
      <c r="E1015">
        <v>75456.33</v>
      </c>
      <c r="F1015">
        <f t="shared" si="46"/>
        <v>2022</v>
      </c>
      <c r="G1015">
        <f t="shared" si="47"/>
        <v>2024</v>
      </c>
      <c r="H1015">
        <f t="shared" si="45"/>
        <v>2</v>
      </c>
    </row>
    <row r="1016" spans="1:8" x14ac:dyDescent="0.25">
      <c r="A1016" t="s">
        <v>2694</v>
      </c>
      <c r="B1016" s="1">
        <v>44090</v>
      </c>
      <c r="C1016" s="1">
        <v>44096</v>
      </c>
      <c r="D1016" s="1">
        <v>44163</v>
      </c>
      <c r="E1016">
        <v>52544.45</v>
      </c>
      <c r="F1016">
        <f t="shared" si="46"/>
        <v>2020</v>
      </c>
      <c r="G1016">
        <f t="shared" si="47"/>
        <v>2020</v>
      </c>
      <c r="H1016">
        <f t="shared" si="45"/>
        <v>0</v>
      </c>
    </row>
    <row r="1017" spans="1:8" x14ac:dyDescent="0.25">
      <c r="A1017" t="s">
        <v>2730</v>
      </c>
      <c r="B1017" s="1">
        <v>45273</v>
      </c>
      <c r="D1017" s="1">
        <v>45554</v>
      </c>
      <c r="E1017">
        <v>-8428.9</v>
      </c>
      <c r="F1017">
        <f t="shared" si="46"/>
        <v>2023</v>
      </c>
      <c r="G1017">
        <f t="shared" si="47"/>
        <v>2024</v>
      </c>
      <c r="H1017">
        <f t="shared" si="45"/>
        <v>1</v>
      </c>
    </row>
    <row r="1018" spans="1:8" x14ac:dyDescent="0.25">
      <c r="A1018" t="s">
        <v>2438</v>
      </c>
      <c r="B1018" s="1">
        <v>44556</v>
      </c>
      <c r="C1018" s="1">
        <v>44609</v>
      </c>
      <c r="D1018" s="1">
        <v>45085</v>
      </c>
      <c r="E1018">
        <v>72448.02</v>
      </c>
      <c r="F1018">
        <f t="shared" si="46"/>
        <v>2021</v>
      </c>
      <c r="G1018">
        <f t="shared" si="47"/>
        <v>2023</v>
      </c>
      <c r="H1018">
        <f t="shared" si="45"/>
        <v>2</v>
      </c>
    </row>
    <row r="1019" spans="1:8" x14ac:dyDescent="0.25">
      <c r="A1019" t="s">
        <v>2651</v>
      </c>
      <c r="B1019" s="1">
        <v>44171</v>
      </c>
      <c r="C1019" s="1">
        <v>44245</v>
      </c>
      <c r="D1019" s="1">
        <v>44368</v>
      </c>
      <c r="E1019">
        <v>58506.6</v>
      </c>
      <c r="F1019">
        <f t="shared" si="46"/>
        <v>2020</v>
      </c>
      <c r="G1019">
        <f t="shared" si="47"/>
        <v>2021</v>
      </c>
      <c r="H1019">
        <f t="shared" si="45"/>
        <v>1</v>
      </c>
    </row>
    <row r="1020" spans="1:8" x14ac:dyDescent="0.25">
      <c r="A1020" t="s">
        <v>2731</v>
      </c>
      <c r="B1020" s="1">
        <v>45341</v>
      </c>
      <c r="C1020" s="1">
        <v>45368</v>
      </c>
      <c r="D1020" s="1">
        <v>45546</v>
      </c>
      <c r="E1020">
        <v>24488.82</v>
      </c>
      <c r="F1020">
        <f t="shared" si="46"/>
        <v>2024</v>
      </c>
      <c r="G1020">
        <f t="shared" si="47"/>
        <v>2024</v>
      </c>
      <c r="H1020">
        <f t="shared" si="45"/>
        <v>0</v>
      </c>
    </row>
    <row r="1021" spans="1:8" x14ac:dyDescent="0.25">
      <c r="A1021" t="s">
        <v>2357</v>
      </c>
      <c r="B1021" s="1">
        <v>45139</v>
      </c>
      <c r="C1021" s="1">
        <v>45217</v>
      </c>
      <c r="D1021" s="1">
        <v>45695</v>
      </c>
      <c r="E1021">
        <v>14405.77</v>
      </c>
      <c r="F1021">
        <f t="shared" si="46"/>
        <v>2023</v>
      </c>
      <c r="G1021">
        <f t="shared" si="47"/>
        <v>2025</v>
      </c>
      <c r="H1021">
        <f t="shared" si="45"/>
        <v>2</v>
      </c>
    </row>
    <row r="1022" spans="1:8" x14ac:dyDescent="0.25">
      <c r="A1022" t="s">
        <v>2166</v>
      </c>
      <c r="B1022" s="1">
        <v>44236</v>
      </c>
      <c r="C1022" s="1">
        <v>44292</v>
      </c>
      <c r="D1022" s="1">
        <v>44397</v>
      </c>
      <c r="E1022">
        <v>39945.949999999997</v>
      </c>
      <c r="F1022">
        <f t="shared" si="46"/>
        <v>2021</v>
      </c>
      <c r="G1022">
        <f t="shared" si="47"/>
        <v>2021</v>
      </c>
      <c r="H1022">
        <f t="shared" si="45"/>
        <v>0</v>
      </c>
    </row>
    <row r="1023" spans="1:8" x14ac:dyDescent="0.25">
      <c r="A1023" t="s">
        <v>2636</v>
      </c>
      <c r="B1023" s="1">
        <v>45386</v>
      </c>
      <c r="C1023" s="1">
        <v>45475</v>
      </c>
      <c r="D1023" s="1">
        <v>45616</v>
      </c>
      <c r="E1023">
        <v>53365.3</v>
      </c>
      <c r="F1023">
        <f t="shared" si="46"/>
        <v>2024</v>
      </c>
      <c r="G1023">
        <f t="shared" si="47"/>
        <v>2024</v>
      </c>
      <c r="H1023">
        <f t="shared" si="45"/>
        <v>0</v>
      </c>
    </row>
    <row r="1024" spans="1:8" x14ac:dyDescent="0.25">
      <c r="A1024" t="s">
        <v>2373</v>
      </c>
      <c r="B1024" s="1">
        <v>44299</v>
      </c>
      <c r="C1024" s="1">
        <v>44373</v>
      </c>
      <c r="D1024" s="1">
        <v>44810</v>
      </c>
      <c r="E1024">
        <v>14547.63</v>
      </c>
      <c r="F1024">
        <f t="shared" si="46"/>
        <v>2021</v>
      </c>
      <c r="G1024">
        <f t="shared" si="47"/>
        <v>2022</v>
      </c>
      <c r="H1024">
        <f t="shared" si="45"/>
        <v>1</v>
      </c>
    </row>
    <row r="1025" spans="1:8" x14ac:dyDescent="0.25">
      <c r="A1025" t="s">
        <v>2159</v>
      </c>
      <c r="B1025" s="1">
        <v>43851</v>
      </c>
      <c r="C1025" s="1">
        <v>43901</v>
      </c>
      <c r="D1025" s="1">
        <v>44220</v>
      </c>
      <c r="E1025">
        <v>49678.97</v>
      </c>
      <c r="F1025">
        <f t="shared" si="46"/>
        <v>2020</v>
      </c>
      <c r="G1025">
        <f t="shared" si="47"/>
        <v>2021</v>
      </c>
      <c r="H1025">
        <f t="shared" si="45"/>
        <v>1</v>
      </c>
    </row>
    <row r="1026" spans="1:8" x14ac:dyDescent="0.25">
      <c r="A1026" t="s">
        <v>2597</v>
      </c>
      <c r="B1026" s="1">
        <v>44294</v>
      </c>
      <c r="C1026" s="1">
        <v>44296</v>
      </c>
      <c r="D1026" s="1">
        <v>44556</v>
      </c>
      <c r="E1026">
        <v>7461.32</v>
      </c>
      <c r="F1026">
        <f t="shared" si="46"/>
        <v>2021</v>
      </c>
      <c r="G1026">
        <f t="shared" si="47"/>
        <v>2021</v>
      </c>
      <c r="H1026">
        <f t="shared" ref="H1026:H1089" si="48">MAX(0,G1026-F1026)</f>
        <v>0</v>
      </c>
    </row>
    <row r="1027" spans="1:8" x14ac:dyDescent="0.25">
      <c r="A1027" t="s">
        <v>2732</v>
      </c>
      <c r="B1027" s="1">
        <v>45379</v>
      </c>
      <c r="C1027" s="1">
        <v>45443</v>
      </c>
      <c r="D1027" s="1">
        <v>45597</v>
      </c>
      <c r="E1027">
        <v>-22265.14</v>
      </c>
      <c r="F1027">
        <f t="shared" ref="F1027:F1090" si="49">YEAR(B1027)</f>
        <v>2024</v>
      </c>
      <c r="G1027">
        <f t="shared" ref="G1027:G1090" si="50">YEAR(D1027)</f>
        <v>2024</v>
      </c>
      <c r="H1027">
        <f t="shared" si="48"/>
        <v>0</v>
      </c>
    </row>
    <row r="1028" spans="1:8" x14ac:dyDescent="0.25">
      <c r="A1028" t="s">
        <v>2483</v>
      </c>
      <c r="B1028" s="1">
        <v>45018</v>
      </c>
      <c r="C1028" s="1">
        <v>45080</v>
      </c>
      <c r="D1028" s="1">
        <v>45526</v>
      </c>
      <c r="E1028">
        <v>73288.41</v>
      </c>
      <c r="F1028">
        <f t="shared" si="49"/>
        <v>2023</v>
      </c>
      <c r="G1028">
        <f t="shared" si="50"/>
        <v>2024</v>
      </c>
      <c r="H1028">
        <f t="shared" si="48"/>
        <v>1</v>
      </c>
    </row>
    <row r="1029" spans="1:8" x14ac:dyDescent="0.25">
      <c r="A1029" t="s">
        <v>2733</v>
      </c>
      <c r="B1029" s="1">
        <v>45020</v>
      </c>
      <c r="C1029" s="1">
        <v>45104</v>
      </c>
      <c r="D1029" s="1">
        <v>45129</v>
      </c>
      <c r="E1029">
        <v>26129.45</v>
      </c>
      <c r="F1029">
        <f t="shared" si="49"/>
        <v>2023</v>
      </c>
      <c r="G1029">
        <f t="shared" si="50"/>
        <v>2023</v>
      </c>
      <c r="H1029">
        <f t="shared" si="48"/>
        <v>0</v>
      </c>
    </row>
    <row r="1030" spans="1:8" x14ac:dyDescent="0.25">
      <c r="A1030" t="s">
        <v>2571</v>
      </c>
      <c r="B1030" s="1">
        <v>45462</v>
      </c>
      <c r="C1030" s="1">
        <v>45479</v>
      </c>
      <c r="D1030" s="1">
        <v>45748</v>
      </c>
      <c r="E1030">
        <v>51649.84</v>
      </c>
      <c r="F1030">
        <f t="shared" si="49"/>
        <v>2024</v>
      </c>
      <c r="G1030">
        <f t="shared" si="50"/>
        <v>2025</v>
      </c>
      <c r="H1030">
        <f t="shared" si="48"/>
        <v>1</v>
      </c>
    </row>
    <row r="1031" spans="1:8" x14ac:dyDescent="0.25">
      <c r="A1031" t="s">
        <v>2734</v>
      </c>
      <c r="B1031" s="1">
        <v>44489</v>
      </c>
      <c r="C1031" s="1">
        <v>44528</v>
      </c>
      <c r="D1031" s="1">
        <v>44618</v>
      </c>
      <c r="E1031">
        <v>59452.56</v>
      </c>
      <c r="F1031">
        <f t="shared" si="49"/>
        <v>2021</v>
      </c>
      <c r="G1031">
        <f t="shared" si="50"/>
        <v>2022</v>
      </c>
      <c r="H1031">
        <f t="shared" si="48"/>
        <v>1</v>
      </c>
    </row>
    <row r="1032" spans="1:8" x14ac:dyDescent="0.25">
      <c r="A1032" t="s">
        <v>2735</v>
      </c>
      <c r="B1032" s="1">
        <v>45470</v>
      </c>
      <c r="C1032" s="1">
        <v>45517</v>
      </c>
      <c r="D1032" s="1">
        <v>45743</v>
      </c>
      <c r="E1032">
        <v>52826.69</v>
      </c>
      <c r="F1032">
        <f t="shared" si="49"/>
        <v>2024</v>
      </c>
      <c r="G1032">
        <f t="shared" si="50"/>
        <v>2025</v>
      </c>
      <c r="H1032">
        <f t="shared" si="48"/>
        <v>1</v>
      </c>
    </row>
    <row r="1033" spans="1:8" x14ac:dyDescent="0.25">
      <c r="A1033" t="s">
        <v>2165</v>
      </c>
      <c r="B1033" s="1">
        <v>44924</v>
      </c>
      <c r="C1033" s="1">
        <v>44956</v>
      </c>
      <c r="D1033" s="1">
        <v>45376</v>
      </c>
      <c r="E1033">
        <v>78251.570000000007</v>
      </c>
      <c r="F1033">
        <f t="shared" si="49"/>
        <v>2022</v>
      </c>
      <c r="G1033">
        <f t="shared" si="50"/>
        <v>2024</v>
      </c>
      <c r="H1033">
        <f t="shared" si="48"/>
        <v>2</v>
      </c>
    </row>
    <row r="1034" spans="1:8" x14ac:dyDescent="0.25">
      <c r="A1034" t="s">
        <v>2160</v>
      </c>
      <c r="B1034" s="1">
        <v>44984</v>
      </c>
      <c r="C1034" s="1">
        <v>45053</v>
      </c>
      <c r="D1034" s="1">
        <v>45344</v>
      </c>
      <c r="E1034">
        <v>11885.86</v>
      </c>
      <c r="F1034">
        <f t="shared" si="49"/>
        <v>2023</v>
      </c>
      <c r="G1034">
        <f t="shared" si="50"/>
        <v>2024</v>
      </c>
      <c r="H1034">
        <f t="shared" si="48"/>
        <v>1</v>
      </c>
    </row>
    <row r="1035" spans="1:8" x14ac:dyDescent="0.25">
      <c r="A1035" t="s">
        <v>2367</v>
      </c>
      <c r="B1035" s="1">
        <v>44469</v>
      </c>
      <c r="C1035" s="1">
        <v>44504</v>
      </c>
      <c r="D1035" s="1">
        <v>44758</v>
      </c>
      <c r="E1035">
        <v>23779.32</v>
      </c>
      <c r="F1035">
        <f t="shared" si="49"/>
        <v>2021</v>
      </c>
      <c r="G1035">
        <f t="shared" si="50"/>
        <v>2022</v>
      </c>
      <c r="H1035">
        <f t="shared" si="48"/>
        <v>1</v>
      </c>
    </row>
    <row r="1036" spans="1:8" x14ac:dyDescent="0.25">
      <c r="A1036" t="s">
        <v>2591</v>
      </c>
      <c r="B1036" s="1">
        <v>44372</v>
      </c>
      <c r="C1036" s="1">
        <v>44408</v>
      </c>
      <c r="D1036" s="1">
        <v>44521</v>
      </c>
      <c r="E1036">
        <v>77145.88</v>
      </c>
      <c r="F1036">
        <f t="shared" si="49"/>
        <v>2021</v>
      </c>
      <c r="G1036">
        <f t="shared" si="50"/>
        <v>2021</v>
      </c>
      <c r="H1036">
        <f t="shared" si="48"/>
        <v>0</v>
      </c>
    </row>
    <row r="1037" spans="1:8" x14ac:dyDescent="0.25">
      <c r="A1037" t="s">
        <v>2329</v>
      </c>
      <c r="B1037" s="1">
        <v>44401</v>
      </c>
      <c r="C1037" s="1">
        <v>44423</v>
      </c>
      <c r="D1037" s="1">
        <v>44878</v>
      </c>
      <c r="E1037">
        <v>49919.85</v>
      </c>
      <c r="F1037">
        <f t="shared" si="49"/>
        <v>2021</v>
      </c>
      <c r="G1037">
        <f t="shared" si="50"/>
        <v>2022</v>
      </c>
      <c r="H1037">
        <f t="shared" si="48"/>
        <v>1</v>
      </c>
    </row>
    <row r="1038" spans="1:8" x14ac:dyDescent="0.25">
      <c r="A1038" t="s">
        <v>2279</v>
      </c>
      <c r="B1038" s="1">
        <v>44270</v>
      </c>
      <c r="C1038" s="1">
        <v>44347</v>
      </c>
      <c r="D1038" s="1">
        <v>44555</v>
      </c>
      <c r="E1038">
        <v>22947.919999999998</v>
      </c>
      <c r="F1038">
        <f t="shared" si="49"/>
        <v>2021</v>
      </c>
      <c r="G1038">
        <f t="shared" si="50"/>
        <v>2021</v>
      </c>
      <c r="H1038">
        <f t="shared" si="48"/>
        <v>0</v>
      </c>
    </row>
    <row r="1039" spans="1:8" x14ac:dyDescent="0.25">
      <c r="A1039" t="s">
        <v>2663</v>
      </c>
      <c r="B1039" s="1">
        <v>45232</v>
      </c>
      <c r="C1039" s="1">
        <v>45275</v>
      </c>
      <c r="D1039" s="1">
        <v>45185</v>
      </c>
      <c r="E1039">
        <v>57048.85</v>
      </c>
      <c r="F1039">
        <f t="shared" si="49"/>
        <v>2023</v>
      </c>
      <c r="G1039">
        <f t="shared" si="50"/>
        <v>2023</v>
      </c>
      <c r="H1039">
        <f t="shared" si="48"/>
        <v>0</v>
      </c>
    </row>
    <row r="1040" spans="1:8" x14ac:dyDescent="0.25">
      <c r="A1040" t="s">
        <v>2470</v>
      </c>
      <c r="B1040" s="1">
        <v>44894</v>
      </c>
      <c r="C1040" s="1">
        <v>44936</v>
      </c>
      <c r="D1040" s="1">
        <v>45203</v>
      </c>
      <c r="E1040">
        <v>9306.64</v>
      </c>
      <c r="F1040">
        <f t="shared" si="49"/>
        <v>2022</v>
      </c>
      <c r="G1040">
        <f t="shared" si="50"/>
        <v>2023</v>
      </c>
      <c r="H1040">
        <f t="shared" si="48"/>
        <v>1</v>
      </c>
    </row>
    <row r="1041" spans="1:8" x14ac:dyDescent="0.25">
      <c r="A1041" t="s">
        <v>2736</v>
      </c>
      <c r="B1041" s="1">
        <v>45239</v>
      </c>
      <c r="C1041" s="1">
        <v>45257</v>
      </c>
      <c r="D1041" s="1">
        <v>45213</v>
      </c>
      <c r="E1041">
        <v>60403.15</v>
      </c>
      <c r="F1041">
        <f t="shared" si="49"/>
        <v>2023</v>
      </c>
      <c r="G1041">
        <f t="shared" si="50"/>
        <v>2023</v>
      </c>
      <c r="H1041">
        <f t="shared" si="48"/>
        <v>0</v>
      </c>
    </row>
    <row r="1042" spans="1:8" x14ac:dyDescent="0.25">
      <c r="A1042" t="s">
        <v>2737</v>
      </c>
      <c r="B1042" s="1">
        <v>45232</v>
      </c>
      <c r="C1042" s="1">
        <v>45279</v>
      </c>
      <c r="D1042" s="1">
        <v>45407</v>
      </c>
      <c r="E1042">
        <v>-13863.76</v>
      </c>
      <c r="F1042">
        <f t="shared" si="49"/>
        <v>2023</v>
      </c>
      <c r="G1042">
        <f t="shared" si="50"/>
        <v>2024</v>
      </c>
      <c r="H1042">
        <f t="shared" si="48"/>
        <v>1</v>
      </c>
    </row>
    <row r="1043" spans="1:8" x14ac:dyDescent="0.25">
      <c r="A1043" t="s">
        <v>2246</v>
      </c>
      <c r="B1043" s="1">
        <v>44830</v>
      </c>
      <c r="C1043" s="1">
        <v>44847</v>
      </c>
      <c r="D1043" s="1">
        <v>45059</v>
      </c>
      <c r="E1043">
        <v>-427535.57</v>
      </c>
      <c r="F1043">
        <f t="shared" si="49"/>
        <v>2022</v>
      </c>
      <c r="G1043">
        <f t="shared" si="50"/>
        <v>2023</v>
      </c>
      <c r="H1043">
        <f t="shared" si="48"/>
        <v>1</v>
      </c>
    </row>
    <row r="1044" spans="1:8" x14ac:dyDescent="0.25">
      <c r="A1044" t="s">
        <v>2630</v>
      </c>
      <c r="B1044" s="1">
        <v>44461</v>
      </c>
      <c r="C1044" s="1">
        <v>44463</v>
      </c>
      <c r="D1044" s="1">
        <v>44727</v>
      </c>
      <c r="E1044">
        <v>43659.8</v>
      </c>
      <c r="F1044">
        <f t="shared" si="49"/>
        <v>2021</v>
      </c>
      <c r="G1044">
        <f t="shared" si="50"/>
        <v>2022</v>
      </c>
      <c r="H1044">
        <f t="shared" si="48"/>
        <v>1</v>
      </c>
    </row>
    <row r="1045" spans="1:8" x14ac:dyDescent="0.25">
      <c r="A1045" t="s">
        <v>2726</v>
      </c>
      <c r="B1045" s="1">
        <v>44719</v>
      </c>
      <c r="C1045" s="1">
        <v>44783</v>
      </c>
      <c r="D1045" s="1">
        <v>44987</v>
      </c>
      <c r="E1045">
        <v>41077.07</v>
      </c>
      <c r="F1045">
        <f t="shared" si="49"/>
        <v>2022</v>
      </c>
      <c r="G1045">
        <f t="shared" si="50"/>
        <v>2023</v>
      </c>
      <c r="H1045">
        <f t="shared" si="48"/>
        <v>1</v>
      </c>
    </row>
    <row r="1046" spans="1:8" x14ac:dyDescent="0.25">
      <c r="A1046" t="s">
        <v>2311</v>
      </c>
      <c r="B1046" s="1">
        <v>44775</v>
      </c>
      <c r="C1046" s="1">
        <v>44835</v>
      </c>
      <c r="D1046" s="1">
        <v>45003</v>
      </c>
      <c r="E1046">
        <v>3441.76</v>
      </c>
      <c r="F1046">
        <f t="shared" si="49"/>
        <v>2022</v>
      </c>
      <c r="G1046">
        <f t="shared" si="50"/>
        <v>2023</v>
      </c>
      <c r="H1046">
        <f t="shared" si="48"/>
        <v>1</v>
      </c>
    </row>
    <row r="1047" spans="1:8" x14ac:dyDescent="0.25">
      <c r="A1047" t="s">
        <v>2738</v>
      </c>
      <c r="B1047" s="1">
        <v>43853</v>
      </c>
      <c r="C1047" s="1">
        <v>43855</v>
      </c>
      <c r="D1047" s="1">
        <v>43930</v>
      </c>
      <c r="E1047">
        <v>77285.850000000006</v>
      </c>
      <c r="F1047">
        <f t="shared" si="49"/>
        <v>2020</v>
      </c>
      <c r="G1047">
        <f t="shared" si="50"/>
        <v>2020</v>
      </c>
      <c r="H1047">
        <f t="shared" si="48"/>
        <v>0</v>
      </c>
    </row>
    <row r="1048" spans="1:8" x14ac:dyDescent="0.25">
      <c r="A1048" t="s">
        <v>2537</v>
      </c>
      <c r="B1048" s="1">
        <v>44846</v>
      </c>
      <c r="C1048" s="1">
        <v>44895</v>
      </c>
      <c r="D1048" s="1">
        <v>45110</v>
      </c>
      <c r="E1048">
        <v>32954.57</v>
      </c>
      <c r="F1048">
        <f t="shared" si="49"/>
        <v>2022</v>
      </c>
      <c r="G1048">
        <f t="shared" si="50"/>
        <v>2023</v>
      </c>
      <c r="H1048">
        <f t="shared" si="48"/>
        <v>1</v>
      </c>
    </row>
    <row r="1049" spans="1:8" x14ac:dyDescent="0.25">
      <c r="A1049" t="s">
        <v>2257</v>
      </c>
      <c r="B1049" s="1">
        <v>44744</v>
      </c>
      <c r="C1049" s="1">
        <v>44781</v>
      </c>
      <c r="D1049" s="1">
        <v>45123</v>
      </c>
      <c r="E1049">
        <v>33146.050000000003</v>
      </c>
      <c r="F1049">
        <f t="shared" si="49"/>
        <v>2022</v>
      </c>
      <c r="G1049">
        <f t="shared" si="50"/>
        <v>2023</v>
      </c>
      <c r="H1049">
        <f t="shared" si="48"/>
        <v>1</v>
      </c>
    </row>
    <row r="1050" spans="1:8" x14ac:dyDescent="0.25">
      <c r="A1050" t="s">
        <v>2739</v>
      </c>
      <c r="B1050" s="1">
        <v>43932</v>
      </c>
      <c r="C1050" s="1">
        <v>43953</v>
      </c>
      <c r="D1050" s="1">
        <v>44000</v>
      </c>
      <c r="E1050">
        <v>14441.91</v>
      </c>
      <c r="F1050">
        <f t="shared" si="49"/>
        <v>2020</v>
      </c>
      <c r="G1050">
        <f t="shared" si="50"/>
        <v>2020</v>
      </c>
      <c r="H1050">
        <f t="shared" si="48"/>
        <v>0</v>
      </c>
    </row>
    <row r="1051" spans="1:8" x14ac:dyDescent="0.25">
      <c r="A1051" t="s">
        <v>2559</v>
      </c>
      <c r="B1051" s="1">
        <v>44469</v>
      </c>
      <c r="C1051" s="1">
        <v>44536</v>
      </c>
      <c r="D1051" s="1">
        <v>44742</v>
      </c>
      <c r="E1051">
        <v>25449.05</v>
      </c>
      <c r="F1051">
        <f t="shared" si="49"/>
        <v>2021</v>
      </c>
      <c r="G1051">
        <f t="shared" si="50"/>
        <v>2022</v>
      </c>
      <c r="H1051">
        <f t="shared" si="48"/>
        <v>1</v>
      </c>
    </row>
    <row r="1052" spans="1:8" x14ac:dyDescent="0.25">
      <c r="A1052" t="s">
        <v>2548</v>
      </c>
      <c r="B1052" s="1">
        <v>43914</v>
      </c>
      <c r="C1052" s="1">
        <v>43940</v>
      </c>
      <c r="D1052" s="1">
        <v>43977</v>
      </c>
      <c r="E1052">
        <v>-16541.669999999998</v>
      </c>
      <c r="F1052">
        <f t="shared" si="49"/>
        <v>2020</v>
      </c>
      <c r="G1052">
        <f t="shared" si="50"/>
        <v>2020</v>
      </c>
      <c r="H1052">
        <f t="shared" si="48"/>
        <v>0</v>
      </c>
    </row>
    <row r="1053" spans="1:8" x14ac:dyDescent="0.25">
      <c r="A1053" t="s">
        <v>2390</v>
      </c>
      <c r="B1053" s="1">
        <v>44273</v>
      </c>
      <c r="C1053" s="1">
        <v>44332</v>
      </c>
      <c r="D1053" s="1">
        <v>44519</v>
      </c>
      <c r="E1053">
        <v>13770.78</v>
      </c>
      <c r="F1053">
        <f t="shared" si="49"/>
        <v>2021</v>
      </c>
      <c r="G1053">
        <f t="shared" si="50"/>
        <v>2021</v>
      </c>
      <c r="H1053">
        <f t="shared" si="48"/>
        <v>0</v>
      </c>
    </row>
    <row r="1054" spans="1:8" x14ac:dyDescent="0.25">
      <c r="A1054" t="s">
        <v>2740</v>
      </c>
      <c r="B1054" s="1">
        <v>44799</v>
      </c>
      <c r="C1054" s="1">
        <v>44854</v>
      </c>
      <c r="D1054" s="1">
        <v>44994</v>
      </c>
      <c r="E1054">
        <v>57436.29</v>
      </c>
      <c r="F1054">
        <f t="shared" si="49"/>
        <v>2022</v>
      </c>
      <c r="G1054">
        <f t="shared" si="50"/>
        <v>2023</v>
      </c>
      <c r="H1054">
        <f t="shared" si="48"/>
        <v>1</v>
      </c>
    </row>
    <row r="1055" spans="1:8" x14ac:dyDescent="0.25">
      <c r="A1055" t="s">
        <v>2741</v>
      </c>
      <c r="B1055" s="1">
        <v>44906</v>
      </c>
      <c r="C1055" s="1">
        <v>44984</v>
      </c>
      <c r="D1055" s="1">
        <v>45122</v>
      </c>
      <c r="E1055">
        <v>7417.03</v>
      </c>
      <c r="F1055">
        <f t="shared" si="49"/>
        <v>2022</v>
      </c>
      <c r="G1055">
        <f t="shared" si="50"/>
        <v>2023</v>
      </c>
      <c r="H1055">
        <f t="shared" si="48"/>
        <v>1</v>
      </c>
    </row>
    <row r="1056" spans="1:8" x14ac:dyDescent="0.25">
      <c r="A1056" t="s">
        <v>2161</v>
      </c>
      <c r="B1056" s="1">
        <v>44934</v>
      </c>
      <c r="C1056" s="1">
        <v>45007</v>
      </c>
      <c r="D1056" s="1">
        <v>45055</v>
      </c>
      <c r="E1056">
        <v>52503.839999999997</v>
      </c>
      <c r="F1056">
        <f t="shared" si="49"/>
        <v>2023</v>
      </c>
      <c r="G1056">
        <f t="shared" si="50"/>
        <v>2023</v>
      </c>
      <c r="H1056">
        <f t="shared" si="48"/>
        <v>0</v>
      </c>
    </row>
    <row r="1057" spans="1:8" x14ac:dyDescent="0.25">
      <c r="A1057" t="s">
        <v>2271</v>
      </c>
      <c r="B1057" s="1">
        <v>44715</v>
      </c>
      <c r="C1057" s="1">
        <v>44801</v>
      </c>
      <c r="D1057" s="1">
        <v>45191</v>
      </c>
      <c r="E1057">
        <v>42497.83</v>
      </c>
      <c r="F1057">
        <f t="shared" si="49"/>
        <v>2022</v>
      </c>
      <c r="G1057">
        <f t="shared" si="50"/>
        <v>2023</v>
      </c>
      <c r="H1057">
        <f t="shared" si="48"/>
        <v>1</v>
      </c>
    </row>
    <row r="1058" spans="1:8" x14ac:dyDescent="0.25">
      <c r="A1058" t="s">
        <v>2605</v>
      </c>
      <c r="B1058" s="1">
        <v>44655</v>
      </c>
      <c r="C1058" s="1">
        <v>44725</v>
      </c>
      <c r="D1058" s="1">
        <v>45000</v>
      </c>
      <c r="E1058">
        <v>-4151.57</v>
      </c>
      <c r="F1058">
        <f t="shared" si="49"/>
        <v>2022</v>
      </c>
      <c r="G1058">
        <f t="shared" si="50"/>
        <v>2023</v>
      </c>
      <c r="H1058">
        <f t="shared" si="48"/>
        <v>1</v>
      </c>
    </row>
    <row r="1059" spans="1:8" x14ac:dyDescent="0.25">
      <c r="A1059" t="s">
        <v>2424</v>
      </c>
      <c r="B1059" s="1">
        <v>44471</v>
      </c>
      <c r="C1059" s="1">
        <v>44559</v>
      </c>
      <c r="D1059" s="1">
        <v>44663</v>
      </c>
      <c r="E1059">
        <v>33395.589999999997</v>
      </c>
      <c r="F1059">
        <f t="shared" si="49"/>
        <v>2021</v>
      </c>
      <c r="G1059">
        <f t="shared" si="50"/>
        <v>2022</v>
      </c>
      <c r="H1059">
        <f t="shared" si="48"/>
        <v>1</v>
      </c>
    </row>
    <row r="1060" spans="1:8" x14ac:dyDescent="0.25">
      <c r="A1060" t="s">
        <v>2742</v>
      </c>
      <c r="B1060" s="1">
        <v>44557</v>
      </c>
      <c r="C1060" s="1">
        <v>44589</v>
      </c>
      <c r="D1060" s="1">
        <v>44706</v>
      </c>
      <c r="E1060">
        <v>64739.39</v>
      </c>
      <c r="F1060">
        <f t="shared" si="49"/>
        <v>2021</v>
      </c>
      <c r="G1060">
        <f t="shared" si="50"/>
        <v>2022</v>
      </c>
      <c r="H1060">
        <f t="shared" si="48"/>
        <v>1</v>
      </c>
    </row>
    <row r="1061" spans="1:8" x14ac:dyDescent="0.25">
      <c r="A1061" t="s">
        <v>2664</v>
      </c>
      <c r="B1061" s="1">
        <v>45203</v>
      </c>
      <c r="C1061" s="1">
        <v>45246</v>
      </c>
      <c r="D1061" s="1">
        <v>45484</v>
      </c>
      <c r="E1061">
        <v>38869.18</v>
      </c>
      <c r="F1061">
        <f t="shared" si="49"/>
        <v>2023</v>
      </c>
      <c r="G1061">
        <f t="shared" si="50"/>
        <v>2024</v>
      </c>
      <c r="H1061">
        <f t="shared" si="48"/>
        <v>1</v>
      </c>
    </row>
    <row r="1062" spans="1:8" x14ac:dyDescent="0.25">
      <c r="A1062" t="s">
        <v>2603</v>
      </c>
      <c r="B1062" s="1">
        <v>44233</v>
      </c>
      <c r="C1062" s="1">
        <v>44263</v>
      </c>
      <c r="D1062" s="1">
        <v>44396</v>
      </c>
      <c r="E1062">
        <v>7719.37</v>
      </c>
      <c r="F1062">
        <f t="shared" si="49"/>
        <v>2021</v>
      </c>
      <c r="G1062">
        <f t="shared" si="50"/>
        <v>2021</v>
      </c>
      <c r="H1062">
        <f t="shared" si="48"/>
        <v>0</v>
      </c>
    </row>
    <row r="1063" spans="1:8" x14ac:dyDescent="0.25">
      <c r="A1063" t="s">
        <v>2699</v>
      </c>
      <c r="B1063" s="1">
        <v>43836</v>
      </c>
      <c r="C1063" s="1">
        <v>43895</v>
      </c>
      <c r="D1063" s="1">
        <v>44348</v>
      </c>
      <c r="E1063">
        <v>16730.12</v>
      </c>
      <c r="F1063">
        <f t="shared" si="49"/>
        <v>2020</v>
      </c>
      <c r="G1063">
        <f t="shared" si="50"/>
        <v>2021</v>
      </c>
      <c r="H1063">
        <f t="shared" si="48"/>
        <v>1</v>
      </c>
    </row>
    <row r="1064" spans="1:8" x14ac:dyDescent="0.25">
      <c r="A1064" t="s">
        <v>2266</v>
      </c>
      <c r="B1064" s="1">
        <v>45150</v>
      </c>
      <c r="C1064" s="1">
        <v>45184</v>
      </c>
      <c r="D1064" s="1">
        <v>45539</v>
      </c>
      <c r="E1064">
        <v>23125.23</v>
      </c>
      <c r="F1064">
        <f t="shared" si="49"/>
        <v>2023</v>
      </c>
      <c r="G1064">
        <f t="shared" si="50"/>
        <v>2024</v>
      </c>
      <c r="H1064">
        <f t="shared" si="48"/>
        <v>1</v>
      </c>
    </row>
    <row r="1065" spans="1:8" x14ac:dyDescent="0.25">
      <c r="A1065" t="s">
        <v>2438</v>
      </c>
      <c r="B1065" s="1">
        <v>44556</v>
      </c>
      <c r="C1065" s="1">
        <v>44609</v>
      </c>
      <c r="D1065" s="1">
        <v>45202</v>
      </c>
      <c r="E1065">
        <v>-7192.33</v>
      </c>
      <c r="F1065">
        <f t="shared" si="49"/>
        <v>2021</v>
      </c>
      <c r="G1065">
        <f t="shared" si="50"/>
        <v>2023</v>
      </c>
      <c r="H1065">
        <f t="shared" si="48"/>
        <v>2</v>
      </c>
    </row>
    <row r="1066" spans="1:8" x14ac:dyDescent="0.25">
      <c r="A1066" t="s">
        <v>2701</v>
      </c>
      <c r="B1066" s="1">
        <v>44402</v>
      </c>
      <c r="C1066" s="1">
        <v>44474</v>
      </c>
      <c r="D1066" s="1">
        <v>44523</v>
      </c>
      <c r="E1066">
        <v>12002.39</v>
      </c>
      <c r="F1066">
        <f t="shared" si="49"/>
        <v>2021</v>
      </c>
      <c r="G1066">
        <f t="shared" si="50"/>
        <v>2021</v>
      </c>
      <c r="H1066">
        <f t="shared" si="48"/>
        <v>0</v>
      </c>
    </row>
    <row r="1067" spans="1:8" x14ac:dyDescent="0.25">
      <c r="A1067" t="s">
        <v>2330</v>
      </c>
      <c r="B1067" s="1">
        <v>45083</v>
      </c>
      <c r="C1067" s="1">
        <v>45157</v>
      </c>
      <c r="D1067" s="1">
        <v>45184</v>
      </c>
      <c r="E1067">
        <v>33853.68</v>
      </c>
      <c r="F1067">
        <f t="shared" si="49"/>
        <v>2023</v>
      </c>
      <c r="G1067">
        <f t="shared" si="50"/>
        <v>2023</v>
      </c>
      <c r="H1067">
        <f t="shared" si="48"/>
        <v>0</v>
      </c>
    </row>
    <row r="1068" spans="1:8" x14ac:dyDescent="0.25">
      <c r="A1068" t="s">
        <v>2743</v>
      </c>
      <c r="B1068" s="1">
        <v>44401</v>
      </c>
      <c r="C1068" s="1">
        <v>44463</v>
      </c>
      <c r="D1068" s="1">
        <v>44915</v>
      </c>
      <c r="E1068">
        <v>9028.81</v>
      </c>
      <c r="F1068">
        <f t="shared" si="49"/>
        <v>2021</v>
      </c>
      <c r="G1068">
        <f t="shared" si="50"/>
        <v>2022</v>
      </c>
      <c r="H1068">
        <f t="shared" si="48"/>
        <v>1</v>
      </c>
    </row>
    <row r="1069" spans="1:8" x14ac:dyDescent="0.25">
      <c r="A1069" t="s">
        <v>2428</v>
      </c>
      <c r="B1069" s="1">
        <v>44781</v>
      </c>
      <c r="C1069" s="1">
        <v>44848</v>
      </c>
      <c r="D1069" s="1">
        <v>45244</v>
      </c>
      <c r="E1069">
        <v>69031.66</v>
      </c>
      <c r="F1069">
        <f t="shared" si="49"/>
        <v>2022</v>
      </c>
      <c r="G1069">
        <f t="shared" si="50"/>
        <v>2023</v>
      </c>
      <c r="H1069">
        <f t="shared" si="48"/>
        <v>1</v>
      </c>
    </row>
    <row r="1070" spans="1:8" x14ac:dyDescent="0.25">
      <c r="A1070" t="s">
        <v>2744</v>
      </c>
      <c r="B1070" s="1">
        <v>45375</v>
      </c>
      <c r="C1070" s="1">
        <v>45437</v>
      </c>
      <c r="D1070" s="1">
        <v>45709</v>
      </c>
      <c r="E1070">
        <v>76130.37</v>
      </c>
      <c r="F1070">
        <f t="shared" si="49"/>
        <v>2024</v>
      </c>
      <c r="G1070">
        <f t="shared" si="50"/>
        <v>2025</v>
      </c>
      <c r="H1070">
        <f t="shared" si="48"/>
        <v>1</v>
      </c>
    </row>
    <row r="1071" spans="1:8" x14ac:dyDescent="0.25">
      <c r="A1071" t="s">
        <v>2497</v>
      </c>
      <c r="B1071" s="1">
        <v>43924</v>
      </c>
      <c r="C1071" s="1">
        <v>43979</v>
      </c>
      <c r="D1071" s="1">
        <v>44171</v>
      </c>
      <c r="E1071">
        <v>67518.759999999995</v>
      </c>
      <c r="F1071">
        <f t="shared" si="49"/>
        <v>2020</v>
      </c>
      <c r="G1071">
        <f t="shared" si="50"/>
        <v>2020</v>
      </c>
      <c r="H1071">
        <f t="shared" si="48"/>
        <v>0</v>
      </c>
    </row>
    <row r="1072" spans="1:8" x14ac:dyDescent="0.25">
      <c r="A1072" t="s">
        <v>2211</v>
      </c>
      <c r="B1072" s="1">
        <v>43844</v>
      </c>
      <c r="C1072" s="1">
        <v>43926</v>
      </c>
      <c r="D1072" s="1">
        <v>44036</v>
      </c>
      <c r="E1072">
        <v>37276.629999999997</v>
      </c>
      <c r="F1072">
        <f t="shared" si="49"/>
        <v>2020</v>
      </c>
      <c r="G1072">
        <f t="shared" si="50"/>
        <v>2020</v>
      </c>
      <c r="H1072">
        <f t="shared" si="48"/>
        <v>0</v>
      </c>
    </row>
    <row r="1073" spans="1:8" x14ac:dyDescent="0.25">
      <c r="A1073" t="s">
        <v>2745</v>
      </c>
      <c r="B1073" s="1">
        <v>45558</v>
      </c>
      <c r="C1073" s="1">
        <v>45625</v>
      </c>
      <c r="D1073" s="1">
        <v>45789</v>
      </c>
      <c r="E1073">
        <v>45946.57</v>
      </c>
      <c r="F1073">
        <f t="shared" si="49"/>
        <v>2024</v>
      </c>
      <c r="G1073">
        <f t="shared" si="50"/>
        <v>2025</v>
      </c>
      <c r="H1073">
        <f t="shared" si="48"/>
        <v>1</v>
      </c>
    </row>
    <row r="1074" spans="1:8" x14ac:dyDescent="0.25">
      <c r="A1074" t="s">
        <v>2164</v>
      </c>
      <c r="B1074" s="1">
        <v>45006</v>
      </c>
      <c r="C1074" s="1">
        <v>45008</v>
      </c>
      <c r="D1074" s="1">
        <v>45352</v>
      </c>
      <c r="E1074">
        <v>-1423.77</v>
      </c>
      <c r="F1074">
        <f t="shared" si="49"/>
        <v>2023</v>
      </c>
      <c r="G1074">
        <f t="shared" si="50"/>
        <v>2024</v>
      </c>
      <c r="H1074">
        <f t="shared" si="48"/>
        <v>1</v>
      </c>
    </row>
    <row r="1075" spans="1:8" x14ac:dyDescent="0.25">
      <c r="A1075" t="s">
        <v>2746</v>
      </c>
      <c r="B1075" s="1">
        <v>44580</v>
      </c>
      <c r="C1075" s="1">
        <v>44584</v>
      </c>
      <c r="D1075" s="1">
        <v>44706</v>
      </c>
      <c r="E1075">
        <v>58104.09</v>
      </c>
      <c r="F1075">
        <f t="shared" si="49"/>
        <v>2022</v>
      </c>
      <c r="G1075">
        <f t="shared" si="50"/>
        <v>2022</v>
      </c>
      <c r="H1075">
        <f t="shared" si="48"/>
        <v>0</v>
      </c>
    </row>
    <row r="1076" spans="1:8" x14ac:dyDescent="0.25">
      <c r="A1076" t="s">
        <v>2747</v>
      </c>
      <c r="B1076" s="1">
        <v>45022</v>
      </c>
      <c r="C1076" s="1">
        <v>45072</v>
      </c>
      <c r="D1076" s="1">
        <v>45489</v>
      </c>
      <c r="E1076">
        <v>79814.759999999995</v>
      </c>
      <c r="F1076">
        <f t="shared" si="49"/>
        <v>2023</v>
      </c>
      <c r="G1076">
        <f t="shared" si="50"/>
        <v>2024</v>
      </c>
      <c r="H1076">
        <f t="shared" si="48"/>
        <v>1</v>
      </c>
    </row>
    <row r="1077" spans="1:8" x14ac:dyDescent="0.25">
      <c r="A1077" t="s">
        <v>2162</v>
      </c>
      <c r="B1077" s="1">
        <v>44008</v>
      </c>
      <c r="C1077" s="1">
        <v>44063</v>
      </c>
      <c r="D1077" s="1">
        <v>44228</v>
      </c>
      <c r="E1077">
        <v>-6470.71</v>
      </c>
      <c r="F1077">
        <f t="shared" si="49"/>
        <v>2020</v>
      </c>
      <c r="G1077">
        <f t="shared" si="50"/>
        <v>2021</v>
      </c>
      <c r="H1077">
        <f t="shared" si="48"/>
        <v>1</v>
      </c>
    </row>
    <row r="1078" spans="1:8" x14ac:dyDescent="0.25">
      <c r="A1078" t="s">
        <v>2748</v>
      </c>
      <c r="B1078" s="1">
        <v>45045</v>
      </c>
      <c r="C1078" s="1">
        <v>45133</v>
      </c>
      <c r="D1078" s="1">
        <v>45270</v>
      </c>
      <c r="E1078">
        <v>6694.96</v>
      </c>
      <c r="F1078">
        <f t="shared" si="49"/>
        <v>2023</v>
      </c>
      <c r="G1078">
        <f t="shared" si="50"/>
        <v>2023</v>
      </c>
      <c r="H1078">
        <f t="shared" si="48"/>
        <v>0</v>
      </c>
    </row>
    <row r="1079" spans="1:8" x14ac:dyDescent="0.25">
      <c r="A1079" t="s">
        <v>2749</v>
      </c>
      <c r="B1079" s="1">
        <v>45116</v>
      </c>
      <c r="C1079" s="1">
        <v>45181</v>
      </c>
      <c r="D1079" s="1">
        <v>45571</v>
      </c>
      <c r="E1079">
        <v>32078</v>
      </c>
      <c r="F1079">
        <f t="shared" si="49"/>
        <v>2023</v>
      </c>
      <c r="G1079">
        <f t="shared" si="50"/>
        <v>2024</v>
      </c>
      <c r="H1079">
        <f t="shared" si="48"/>
        <v>1</v>
      </c>
    </row>
    <row r="1080" spans="1:8" x14ac:dyDescent="0.25">
      <c r="A1080" t="s">
        <v>2679</v>
      </c>
      <c r="B1080" s="1">
        <v>44560</v>
      </c>
      <c r="C1080" s="1">
        <v>44646</v>
      </c>
      <c r="D1080" s="1">
        <v>44879</v>
      </c>
      <c r="E1080">
        <v>82610.78</v>
      </c>
      <c r="F1080">
        <f t="shared" si="49"/>
        <v>2021</v>
      </c>
      <c r="G1080">
        <f t="shared" si="50"/>
        <v>2022</v>
      </c>
      <c r="H1080">
        <f t="shared" si="48"/>
        <v>1</v>
      </c>
    </row>
    <row r="1081" spans="1:8" x14ac:dyDescent="0.25">
      <c r="A1081" t="s">
        <v>2658</v>
      </c>
      <c r="B1081" s="1">
        <v>45073</v>
      </c>
      <c r="C1081" s="1">
        <v>45085</v>
      </c>
      <c r="D1081" s="1">
        <v>45589</v>
      </c>
      <c r="E1081">
        <v>-16447.46</v>
      </c>
      <c r="F1081">
        <f t="shared" si="49"/>
        <v>2023</v>
      </c>
      <c r="G1081">
        <f t="shared" si="50"/>
        <v>2024</v>
      </c>
      <c r="H1081">
        <f t="shared" si="48"/>
        <v>1</v>
      </c>
    </row>
    <row r="1082" spans="1:8" x14ac:dyDescent="0.25">
      <c r="A1082" t="s">
        <v>2667</v>
      </c>
      <c r="B1082" s="1">
        <v>44126</v>
      </c>
      <c r="C1082" s="1">
        <v>44170</v>
      </c>
      <c r="D1082" s="1">
        <v>44453</v>
      </c>
      <c r="E1082">
        <v>25986.39</v>
      </c>
      <c r="F1082">
        <f t="shared" si="49"/>
        <v>2020</v>
      </c>
      <c r="G1082">
        <f t="shared" si="50"/>
        <v>2021</v>
      </c>
      <c r="H1082">
        <f t="shared" si="48"/>
        <v>1</v>
      </c>
    </row>
    <row r="1083" spans="1:8" x14ac:dyDescent="0.25">
      <c r="A1083" t="s">
        <v>2518</v>
      </c>
      <c r="B1083" s="1">
        <v>44574</v>
      </c>
      <c r="D1083" s="1">
        <v>44770</v>
      </c>
      <c r="E1083">
        <v>68267.61</v>
      </c>
      <c r="F1083">
        <f t="shared" si="49"/>
        <v>2022</v>
      </c>
      <c r="G1083">
        <f t="shared" si="50"/>
        <v>2022</v>
      </c>
      <c r="H1083">
        <f t="shared" si="48"/>
        <v>0</v>
      </c>
    </row>
    <row r="1084" spans="1:8" x14ac:dyDescent="0.25">
      <c r="A1084" t="s">
        <v>2700</v>
      </c>
      <c r="B1084" s="1">
        <v>44378</v>
      </c>
      <c r="C1084" s="1">
        <v>44426</v>
      </c>
      <c r="D1084" s="1">
        <v>45021</v>
      </c>
      <c r="E1084">
        <v>70667.100000000006</v>
      </c>
      <c r="F1084">
        <f t="shared" si="49"/>
        <v>2021</v>
      </c>
      <c r="G1084">
        <f t="shared" si="50"/>
        <v>2023</v>
      </c>
      <c r="H1084">
        <f t="shared" si="48"/>
        <v>2</v>
      </c>
    </row>
    <row r="1085" spans="1:8" x14ac:dyDescent="0.25">
      <c r="A1085" t="s">
        <v>2399</v>
      </c>
      <c r="B1085" s="1">
        <v>44162</v>
      </c>
      <c r="C1085" s="1">
        <v>44246</v>
      </c>
      <c r="D1085" s="1">
        <v>44567</v>
      </c>
      <c r="E1085">
        <v>-2097.14</v>
      </c>
      <c r="F1085">
        <f t="shared" si="49"/>
        <v>2020</v>
      </c>
      <c r="G1085">
        <f t="shared" si="50"/>
        <v>2022</v>
      </c>
      <c r="H1085">
        <f t="shared" si="48"/>
        <v>2</v>
      </c>
    </row>
    <row r="1086" spans="1:8" x14ac:dyDescent="0.25">
      <c r="A1086" t="s">
        <v>2668</v>
      </c>
      <c r="B1086" s="1">
        <v>45080</v>
      </c>
      <c r="C1086" s="1">
        <v>45105</v>
      </c>
      <c r="D1086" s="1">
        <v>45165</v>
      </c>
      <c r="E1086">
        <v>8371.0499999999993</v>
      </c>
      <c r="F1086">
        <f t="shared" si="49"/>
        <v>2023</v>
      </c>
      <c r="G1086">
        <f t="shared" si="50"/>
        <v>2023</v>
      </c>
      <c r="H1086">
        <f t="shared" si="48"/>
        <v>0</v>
      </c>
    </row>
    <row r="1087" spans="1:8" x14ac:dyDescent="0.25">
      <c r="A1087" t="s">
        <v>2429</v>
      </c>
      <c r="B1087" s="1">
        <v>45396</v>
      </c>
      <c r="C1087" s="1">
        <v>45455</v>
      </c>
      <c r="D1087" s="1">
        <v>45808</v>
      </c>
      <c r="E1087">
        <v>3095.71</v>
      </c>
      <c r="F1087">
        <f t="shared" si="49"/>
        <v>2024</v>
      </c>
      <c r="G1087">
        <f t="shared" si="50"/>
        <v>2025</v>
      </c>
      <c r="H1087">
        <f t="shared" si="48"/>
        <v>1</v>
      </c>
    </row>
    <row r="1088" spans="1:8" x14ac:dyDescent="0.25">
      <c r="A1088" t="s">
        <v>2244</v>
      </c>
      <c r="B1088" s="1">
        <v>44865</v>
      </c>
      <c r="C1088" s="1">
        <v>44907</v>
      </c>
      <c r="D1088" s="1">
        <v>45102</v>
      </c>
      <c r="E1088">
        <v>53129.94</v>
      </c>
      <c r="F1088">
        <f t="shared" si="49"/>
        <v>2022</v>
      </c>
      <c r="G1088">
        <f t="shared" si="50"/>
        <v>2023</v>
      </c>
      <c r="H1088">
        <f t="shared" si="48"/>
        <v>1</v>
      </c>
    </row>
    <row r="1089" spans="1:8" x14ac:dyDescent="0.25">
      <c r="A1089" t="s">
        <v>2750</v>
      </c>
      <c r="B1089" s="1">
        <v>45241</v>
      </c>
      <c r="C1089" s="1">
        <v>45319</v>
      </c>
      <c r="D1089" s="1">
        <v>45408</v>
      </c>
      <c r="E1089">
        <v>27554.85</v>
      </c>
      <c r="F1089">
        <f t="shared" si="49"/>
        <v>2023</v>
      </c>
      <c r="G1089">
        <f t="shared" si="50"/>
        <v>2024</v>
      </c>
      <c r="H1089">
        <f t="shared" si="48"/>
        <v>1</v>
      </c>
    </row>
    <row r="1090" spans="1:8" x14ac:dyDescent="0.25">
      <c r="A1090" t="s">
        <v>2390</v>
      </c>
      <c r="B1090" s="1">
        <v>44273</v>
      </c>
      <c r="C1090" s="1">
        <v>44332</v>
      </c>
      <c r="D1090" s="1">
        <v>44882</v>
      </c>
      <c r="E1090">
        <v>61205.72</v>
      </c>
      <c r="F1090">
        <f t="shared" si="49"/>
        <v>2021</v>
      </c>
      <c r="G1090">
        <f t="shared" si="50"/>
        <v>2022</v>
      </c>
      <c r="H1090">
        <f t="shared" ref="H1090:H1153" si="51">MAX(0,G1090-F1090)</f>
        <v>1</v>
      </c>
    </row>
    <row r="1091" spans="1:8" x14ac:dyDescent="0.25">
      <c r="A1091" t="s">
        <v>2376</v>
      </c>
      <c r="B1091" s="1">
        <v>45083</v>
      </c>
      <c r="C1091" s="1">
        <v>45091</v>
      </c>
      <c r="D1091" s="1">
        <v>45109</v>
      </c>
      <c r="E1091">
        <v>68331.839999999997</v>
      </c>
      <c r="F1091">
        <f t="shared" ref="F1091:F1154" si="52">YEAR(B1091)</f>
        <v>2023</v>
      </c>
      <c r="G1091">
        <f t="shared" ref="G1091:G1154" si="53">YEAR(D1091)</f>
        <v>2023</v>
      </c>
      <c r="H1091">
        <f t="shared" si="51"/>
        <v>0</v>
      </c>
    </row>
    <row r="1092" spans="1:8" x14ac:dyDescent="0.25">
      <c r="A1092" t="s">
        <v>2700</v>
      </c>
      <c r="B1092" s="1">
        <v>44378</v>
      </c>
      <c r="C1092" s="1">
        <v>44426</v>
      </c>
      <c r="D1092" s="1">
        <v>44988</v>
      </c>
      <c r="E1092">
        <v>47340.08</v>
      </c>
      <c r="F1092">
        <f t="shared" si="52"/>
        <v>2021</v>
      </c>
      <c r="G1092">
        <f t="shared" si="53"/>
        <v>2023</v>
      </c>
      <c r="H1092">
        <f t="shared" si="51"/>
        <v>2</v>
      </c>
    </row>
    <row r="1093" spans="1:8" x14ac:dyDescent="0.25">
      <c r="A1093" t="s">
        <v>2751</v>
      </c>
      <c r="B1093" s="1">
        <v>45598</v>
      </c>
      <c r="C1093" s="1">
        <v>45673</v>
      </c>
      <c r="D1093" s="1">
        <v>45740</v>
      </c>
      <c r="E1093">
        <v>81166.679999999993</v>
      </c>
      <c r="F1093">
        <f t="shared" si="52"/>
        <v>2024</v>
      </c>
      <c r="G1093">
        <f t="shared" si="53"/>
        <v>2025</v>
      </c>
      <c r="H1093">
        <f t="shared" si="51"/>
        <v>1</v>
      </c>
    </row>
    <row r="1094" spans="1:8" x14ac:dyDescent="0.25">
      <c r="A1094" t="s">
        <v>2747</v>
      </c>
      <c r="B1094" s="1">
        <v>45022</v>
      </c>
      <c r="C1094" s="1">
        <v>45072</v>
      </c>
      <c r="D1094" s="1">
        <v>45125</v>
      </c>
      <c r="E1094">
        <v>68844.399999999994</v>
      </c>
      <c r="F1094">
        <f t="shared" si="52"/>
        <v>2023</v>
      </c>
      <c r="G1094">
        <f t="shared" si="53"/>
        <v>2023</v>
      </c>
      <c r="H1094">
        <f t="shared" si="51"/>
        <v>0</v>
      </c>
    </row>
    <row r="1095" spans="1:8" x14ac:dyDescent="0.25">
      <c r="A1095" t="s">
        <v>2752</v>
      </c>
      <c r="B1095" s="1">
        <v>44952</v>
      </c>
      <c r="C1095" s="1">
        <v>44983</v>
      </c>
      <c r="D1095" s="1">
        <v>45078</v>
      </c>
      <c r="E1095">
        <v>35266.31</v>
      </c>
      <c r="F1095">
        <f t="shared" si="52"/>
        <v>2023</v>
      </c>
      <c r="G1095">
        <f t="shared" si="53"/>
        <v>2023</v>
      </c>
      <c r="H1095">
        <f t="shared" si="51"/>
        <v>0</v>
      </c>
    </row>
    <row r="1096" spans="1:8" x14ac:dyDescent="0.25">
      <c r="A1096" t="s">
        <v>2744</v>
      </c>
      <c r="B1096" s="1">
        <v>45375</v>
      </c>
      <c r="C1096" s="1">
        <v>45437</v>
      </c>
      <c r="D1096" s="1">
        <v>45570</v>
      </c>
      <c r="E1096">
        <v>-16579.45</v>
      </c>
      <c r="F1096">
        <f t="shared" si="52"/>
        <v>2024</v>
      </c>
      <c r="G1096">
        <f t="shared" si="53"/>
        <v>2024</v>
      </c>
      <c r="H1096">
        <f t="shared" si="51"/>
        <v>0</v>
      </c>
    </row>
    <row r="1097" spans="1:8" x14ac:dyDescent="0.25">
      <c r="A1097" t="s">
        <v>2753</v>
      </c>
      <c r="B1097" s="1">
        <v>44489</v>
      </c>
      <c r="C1097" s="1">
        <v>44529</v>
      </c>
      <c r="D1097" s="1">
        <v>44642</v>
      </c>
      <c r="E1097">
        <v>36763.06</v>
      </c>
      <c r="F1097">
        <f t="shared" si="52"/>
        <v>2021</v>
      </c>
      <c r="G1097">
        <f t="shared" si="53"/>
        <v>2022</v>
      </c>
      <c r="H1097">
        <f t="shared" si="51"/>
        <v>1</v>
      </c>
    </row>
    <row r="1098" spans="1:8" x14ac:dyDescent="0.25">
      <c r="A1098" t="s">
        <v>2754</v>
      </c>
      <c r="B1098" s="1">
        <v>45070</v>
      </c>
      <c r="C1098" s="1">
        <v>45133</v>
      </c>
      <c r="D1098" s="1">
        <v>45698</v>
      </c>
      <c r="E1098">
        <v>39248.78</v>
      </c>
      <c r="F1098">
        <f t="shared" si="52"/>
        <v>2023</v>
      </c>
      <c r="G1098">
        <f t="shared" si="53"/>
        <v>2025</v>
      </c>
      <c r="H1098">
        <f t="shared" si="51"/>
        <v>2</v>
      </c>
    </row>
    <row r="1099" spans="1:8" x14ac:dyDescent="0.25">
      <c r="A1099" t="s">
        <v>2190</v>
      </c>
      <c r="B1099" s="1">
        <v>43865</v>
      </c>
      <c r="C1099" s="1">
        <v>43925</v>
      </c>
      <c r="D1099" s="1">
        <v>44031</v>
      </c>
      <c r="E1099">
        <v>17599.87</v>
      </c>
      <c r="F1099">
        <f t="shared" si="52"/>
        <v>2020</v>
      </c>
      <c r="G1099">
        <f t="shared" si="53"/>
        <v>2020</v>
      </c>
      <c r="H1099">
        <f t="shared" si="51"/>
        <v>0</v>
      </c>
    </row>
    <row r="1100" spans="1:8" x14ac:dyDescent="0.25">
      <c r="A1100" t="s">
        <v>2755</v>
      </c>
      <c r="B1100" s="1">
        <v>44415</v>
      </c>
      <c r="C1100" s="1">
        <v>44461</v>
      </c>
      <c r="D1100" s="1">
        <v>44515</v>
      </c>
      <c r="E1100">
        <v>13435.5</v>
      </c>
      <c r="F1100">
        <f t="shared" si="52"/>
        <v>2021</v>
      </c>
      <c r="G1100">
        <f t="shared" si="53"/>
        <v>2021</v>
      </c>
      <c r="H1100">
        <f t="shared" si="51"/>
        <v>0</v>
      </c>
    </row>
    <row r="1101" spans="1:8" x14ac:dyDescent="0.25">
      <c r="A1101" t="s">
        <v>2730</v>
      </c>
      <c r="B1101" s="1">
        <v>45273</v>
      </c>
      <c r="D1101" s="1">
        <v>45390</v>
      </c>
      <c r="E1101">
        <v>10460.86</v>
      </c>
      <c r="F1101">
        <f t="shared" si="52"/>
        <v>2023</v>
      </c>
      <c r="G1101">
        <f t="shared" si="53"/>
        <v>2024</v>
      </c>
      <c r="H1101">
        <f t="shared" si="51"/>
        <v>1</v>
      </c>
    </row>
    <row r="1102" spans="1:8" x14ac:dyDescent="0.25">
      <c r="A1102" t="s">
        <v>2407</v>
      </c>
      <c r="B1102" s="1">
        <v>45485</v>
      </c>
      <c r="C1102" s="1">
        <v>45556</v>
      </c>
      <c r="D1102" s="1">
        <v>45683</v>
      </c>
      <c r="E1102">
        <v>63400.34</v>
      </c>
      <c r="F1102">
        <f t="shared" si="52"/>
        <v>2024</v>
      </c>
      <c r="G1102">
        <f t="shared" si="53"/>
        <v>2025</v>
      </c>
      <c r="H1102">
        <f t="shared" si="51"/>
        <v>1</v>
      </c>
    </row>
    <row r="1103" spans="1:8" x14ac:dyDescent="0.25">
      <c r="A1103" t="s">
        <v>2756</v>
      </c>
      <c r="B1103" s="1">
        <v>44707</v>
      </c>
      <c r="C1103" s="1">
        <v>44771</v>
      </c>
      <c r="D1103" s="1">
        <v>45042</v>
      </c>
      <c r="E1103">
        <v>-15801.26</v>
      </c>
      <c r="F1103">
        <f t="shared" si="52"/>
        <v>2022</v>
      </c>
      <c r="G1103">
        <f t="shared" si="53"/>
        <v>2023</v>
      </c>
      <c r="H1103">
        <f t="shared" si="51"/>
        <v>1</v>
      </c>
    </row>
    <row r="1104" spans="1:8" x14ac:dyDescent="0.25">
      <c r="A1104" t="s">
        <v>2697</v>
      </c>
      <c r="B1104" s="1">
        <v>43931</v>
      </c>
      <c r="C1104" s="1">
        <v>44016</v>
      </c>
      <c r="D1104" s="1">
        <v>44144</v>
      </c>
      <c r="E1104">
        <v>9500.64</v>
      </c>
      <c r="F1104">
        <f t="shared" si="52"/>
        <v>2020</v>
      </c>
      <c r="G1104">
        <f t="shared" si="53"/>
        <v>2020</v>
      </c>
      <c r="H1104">
        <f t="shared" si="51"/>
        <v>0</v>
      </c>
    </row>
    <row r="1105" spans="1:8" x14ac:dyDescent="0.25">
      <c r="A1105" t="s">
        <v>2647</v>
      </c>
      <c r="B1105" s="1">
        <v>45308</v>
      </c>
      <c r="C1105" s="1">
        <v>45378</v>
      </c>
      <c r="D1105" s="1">
        <v>45562</v>
      </c>
      <c r="E1105">
        <v>22884.21</v>
      </c>
      <c r="F1105">
        <f t="shared" si="52"/>
        <v>2024</v>
      </c>
      <c r="G1105">
        <f t="shared" si="53"/>
        <v>2024</v>
      </c>
      <c r="H1105">
        <f t="shared" si="51"/>
        <v>0</v>
      </c>
    </row>
    <row r="1106" spans="1:8" x14ac:dyDescent="0.25">
      <c r="A1106" t="s">
        <v>2679</v>
      </c>
      <c r="B1106" s="1">
        <v>44560</v>
      </c>
      <c r="C1106" s="1">
        <v>44646</v>
      </c>
      <c r="D1106" s="1">
        <v>44782</v>
      </c>
      <c r="E1106">
        <v>69178.02</v>
      </c>
      <c r="F1106">
        <f t="shared" si="52"/>
        <v>2021</v>
      </c>
      <c r="G1106">
        <f t="shared" si="53"/>
        <v>2022</v>
      </c>
      <c r="H1106">
        <f t="shared" si="51"/>
        <v>1</v>
      </c>
    </row>
    <row r="1107" spans="1:8" x14ac:dyDescent="0.25">
      <c r="A1107" t="s">
        <v>2757</v>
      </c>
      <c r="B1107" s="1">
        <v>43877</v>
      </c>
      <c r="C1107" s="1">
        <v>43898</v>
      </c>
      <c r="D1107" s="1">
        <v>43958</v>
      </c>
      <c r="E1107">
        <v>82142.19</v>
      </c>
      <c r="F1107">
        <f t="shared" si="52"/>
        <v>2020</v>
      </c>
      <c r="G1107">
        <f t="shared" si="53"/>
        <v>2020</v>
      </c>
      <c r="H1107">
        <f t="shared" si="51"/>
        <v>0</v>
      </c>
    </row>
    <row r="1108" spans="1:8" x14ac:dyDescent="0.25">
      <c r="A1108" t="s">
        <v>2362</v>
      </c>
      <c r="B1108" s="1">
        <v>44750</v>
      </c>
      <c r="C1108" s="1">
        <v>44791</v>
      </c>
      <c r="D1108" s="1">
        <v>45050</v>
      </c>
      <c r="E1108">
        <v>46668.14</v>
      </c>
      <c r="F1108">
        <f t="shared" si="52"/>
        <v>2022</v>
      </c>
      <c r="G1108">
        <f t="shared" si="53"/>
        <v>2023</v>
      </c>
      <c r="H1108">
        <f t="shared" si="51"/>
        <v>1</v>
      </c>
    </row>
    <row r="1109" spans="1:8" x14ac:dyDescent="0.25">
      <c r="A1109" t="s">
        <v>2758</v>
      </c>
      <c r="B1109" s="1">
        <v>44758</v>
      </c>
      <c r="C1109" s="1">
        <v>44765</v>
      </c>
      <c r="D1109" s="1">
        <v>44961</v>
      </c>
      <c r="E1109">
        <v>80399.28</v>
      </c>
      <c r="F1109">
        <f t="shared" si="52"/>
        <v>2022</v>
      </c>
      <c r="G1109">
        <f t="shared" si="53"/>
        <v>2023</v>
      </c>
      <c r="H1109">
        <f t="shared" si="51"/>
        <v>1</v>
      </c>
    </row>
    <row r="1110" spans="1:8" x14ac:dyDescent="0.25">
      <c r="A1110" t="s">
        <v>2164</v>
      </c>
      <c r="B1110" s="1">
        <v>45006</v>
      </c>
      <c r="C1110" s="1">
        <v>45008</v>
      </c>
      <c r="D1110" s="1">
        <v>45541</v>
      </c>
      <c r="E1110">
        <v>45036.85</v>
      </c>
      <c r="F1110">
        <f t="shared" si="52"/>
        <v>2023</v>
      </c>
      <c r="G1110">
        <f t="shared" si="53"/>
        <v>2024</v>
      </c>
      <c r="H1110">
        <f t="shared" si="51"/>
        <v>1</v>
      </c>
    </row>
    <row r="1111" spans="1:8" x14ac:dyDescent="0.25">
      <c r="A1111" t="s">
        <v>2759</v>
      </c>
      <c r="B1111" s="1">
        <v>44114</v>
      </c>
      <c r="C1111" s="1">
        <v>44178</v>
      </c>
      <c r="D1111" s="1">
        <v>44305</v>
      </c>
      <c r="E1111">
        <v>50575.89</v>
      </c>
      <c r="F1111">
        <f t="shared" si="52"/>
        <v>2020</v>
      </c>
      <c r="G1111">
        <f t="shared" si="53"/>
        <v>2021</v>
      </c>
      <c r="H1111">
        <f t="shared" si="51"/>
        <v>1</v>
      </c>
    </row>
    <row r="1112" spans="1:8" x14ac:dyDescent="0.25">
      <c r="A1112" t="s">
        <v>2258</v>
      </c>
      <c r="B1112" s="1">
        <v>45607</v>
      </c>
      <c r="C1112" s="1">
        <v>45624</v>
      </c>
      <c r="D1112" s="1">
        <v>45664</v>
      </c>
      <c r="E1112">
        <v>11153.64</v>
      </c>
      <c r="F1112">
        <f t="shared" si="52"/>
        <v>2024</v>
      </c>
      <c r="G1112">
        <f t="shared" si="53"/>
        <v>2025</v>
      </c>
      <c r="H1112">
        <f t="shared" si="51"/>
        <v>1</v>
      </c>
    </row>
    <row r="1113" spans="1:8" x14ac:dyDescent="0.25">
      <c r="A1113" t="s">
        <v>2307</v>
      </c>
      <c r="B1113" s="1">
        <v>44227</v>
      </c>
      <c r="C1113" s="1">
        <v>44278</v>
      </c>
      <c r="D1113" s="1">
        <v>44559</v>
      </c>
      <c r="E1113">
        <v>42562.95</v>
      </c>
      <c r="F1113">
        <f t="shared" si="52"/>
        <v>2021</v>
      </c>
      <c r="G1113">
        <f t="shared" si="53"/>
        <v>2021</v>
      </c>
      <c r="H1113">
        <f t="shared" si="51"/>
        <v>0</v>
      </c>
    </row>
    <row r="1114" spans="1:8" x14ac:dyDescent="0.25">
      <c r="A1114" t="s">
        <v>2760</v>
      </c>
      <c r="B1114" s="1">
        <v>45087</v>
      </c>
      <c r="C1114" s="1">
        <v>45172</v>
      </c>
      <c r="D1114" s="1">
        <v>45265</v>
      </c>
      <c r="E1114">
        <v>33787.19</v>
      </c>
      <c r="F1114">
        <f t="shared" si="52"/>
        <v>2023</v>
      </c>
      <c r="G1114">
        <f t="shared" si="53"/>
        <v>2023</v>
      </c>
      <c r="H1114">
        <f t="shared" si="51"/>
        <v>0</v>
      </c>
    </row>
    <row r="1115" spans="1:8" x14ac:dyDescent="0.25">
      <c r="A1115" t="s">
        <v>2503</v>
      </c>
      <c r="B1115" s="1">
        <v>45424</v>
      </c>
      <c r="D1115" s="1">
        <v>45527</v>
      </c>
      <c r="E1115">
        <v>10194.450000000001</v>
      </c>
      <c r="F1115">
        <f t="shared" si="52"/>
        <v>2024</v>
      </c>
      <c r="G1115">
        <f t="shared" si="53"/>
        <v>2024</v>
      </c>
      <c r="H1115">
        <f t="shared" si="51"/>
        <v>0</v>
      </c>
    </row>
    <row r="1116" spans="1:8" x14ac:dyDescent="0.25">
      <c r="A1116" t="s">
        <v>2176</v>
      </c>
      <c r="B1116" s="1">
        <v>43864</v>
      </c>
      <c r="C1116" s="1">
        <v>43914</v>
      </c>
      <c r="D1116" s="1">
        <v>44003</v>
      </c>
      <c r="E1116">
        <v>10217.25</v>
      </c>
      <c r="F1116">
        <f t="shared" si="52"/>
        <v>2020</v>
      </c>
      <c r="G1116">
        <f t="shared" si="53"/>
        <v>2020</v>
      </c>
      <c r="H1116">
        <f t="shared" si="51"/>
        <v>0</v>
      </c>
    </row>
    <row r="1117" spans="1:8" x14ac:dyDescent="0.25">
      <c r="A1117" t="s">
        <v>2761</v>
      </c>
      <c r="B1117" s="1">
        <v>45627</v>
      </c>
      <c r="D1117" s="1">
        <v>45745</v>
      </c>
      <c r="E1117">
        <v>-10401.39</v>
      </c>
      <c r="F1117">
        <f t="shared" si="52"/>
        <v>2024</v>
      </c>
      <c r="G1117">
        <f t="shared" si="53"/>
        <v>2025</v>
      </c>
      <c r="H1117">
        <f t="shared" si="51"/>
        <v>1</v>
      </c>
    </row>
    <row r="1118" spans="1:8" x14ac:dyDescent="0.25">
      <c r="A1118" t="s">
        <v>2240</v>
      </c>
      <c r="B1118" s="1">
        <v>44694</v>
      </c>
      <c r="C1118" s="1">
        <v>44770</v>
      </c>
      <c r="D1118" s="1">
        <v>45030</v>
      </c>
      <c r="E1118">
        <v>22955.11</v>
      </c>
      <c r="F1118">
        <f t="shared" si="52"/>
        <v>2022</v>
      </c>
      <c r="G1118">
        <f t="shared" si="53"/>
        <v>2023</v>
      </c>
      <c r="H1118">
        <f t="shared" si="51"/>
        <v>1</v>
      </c>
    </row>
    <row r="1119" spans="1:8" x14ac:dyDescent="0.25">
      <c r="A1119" t="s">
        <v>2626</v>
      </c>
      <c r="B1119" s="1">
        <v>45035</v>
      </c>
      <c r="C1119" s="1">
        <v>45111</v>
      </c>
      <c r="D1119" s="1">
        <v>45355</v>
      </c>
      <c r="E1119">
        <v>34361.42</v>
      </c>
      <c r="F1119">
        <f t="shared" si="52"/>
        <v>2023</v>
      </c>
      <c r="G1119">
        <f t="shared" si="53"/>
        <v>2024</v>
      </c>
      <c r="H1119">
        <f t="shared" si="51"/>
        <v>1</v>
      </c>
    </row>
    <row r="1120" spans="1:8" x14ac:dyDescent="0.25">
      <c r="A1120" t="s">
        <v>2361</v>
      </c>
      <c r="B1120" s="1">
        <v>44563</v>
      </c>
      <c r="C1120" s="1">
        <v>44571</v>
      </c>
      <c r="D1120" s="1">
        <v>44647</v>
      </c>
      <c r="E1120">
        <v>4954.34</v>
      </c>
      <c r="F1120">
        <f t="shared" si="52"/>
        <v>2022</v>
      </c>
      <c r="G1120">
        <f t="shared" si="53"/>
        <v>2022</v>
      </c>
      <c r="H1120">
        <f t="shared" si="51"/>
        <v>0</v>
      </c>
    </row>
    <row r="1121" spans="1:8" x14ac:dyDescent="0.25">
      <c r="A1121" t="s">
        <v>2238</v>
      </c>
      <c r="B1121" s="1">
        <v>44917</v>
      </c>
      <c r="C1121" s="1">
        <v>44996</v>
      </c>
      <c r="D1121" s="1">
        <v>45205</v>
      </c>
      <c r="E1121">
        <v>80263.009999999995</v>
      </c>
      <c r="F1121">
        <f t="shared" si="52"/>
        <v>2022</v>
      </c>
      <c r="G1121">
        <f t="shared" si="53"/>
        <v>2023</v>
      </c>
      <c r="H1121">
        <f t="shared" si="51"/>
        <v>1</v>
      </c>
    </row>
    <row r="1122" spans="1:8" x14ac:dyDescent="0.25">
      <c r="A1122" t="s">
        <v>2403</v>
      </c>
      <c r="B1122" s="1">
        <v>43958</v>
      </c>
      <c r="C1122" s="1">
        <v>43982</v>
      </c>
      <c r="D1122" s="1">
        <v>44142</v>
      </c>
      <c r="E1122">
        <v>67669.759999999995</v>
      </c>
      <c r="F1122">
        <f t="shared" si="52"/>
        <v>2020</v>
      </c>
      <c r="G1122">
        <f t="shared" si="53"/>
        <v>2020</v>
      </c>
      <c r="H1122">
        <f t="shared" si="51"/>
        <v>0</v>
      </c>
    </row>
    <row r="1123" spans="1:8" x14ac:dyDescent="0.25">
      <c r="A1123" t="s">
        <v>2724</v>
      </c>
      <c r="B1123" s="1">
        <v>44265</v>
      </c>
      <c r="C1123" s="1">
        <v>44342</v>
      </c>
      <c r="D1123" s="1">
        <v>44711</v>
      </c>
      <c r="E1123">
        <v>7906.15</v>
      </c>
      <c r="F1123">
        <f t="shared" si="52"/>
        <v>2021</v>
      </c>
      <c r="G1123">
        <f t="shared" si="53"/>
        <v>2022</v>
      </c>
      <c r="H1123">
        <f t="shared" si="51"/>
        <v>1</v>
      </c>
    </row>
    <row r="1124" spans="1:8" x14ac:dyDescent="0.25">
      <c r="A1124" t="s">
        <v>2169</v>
      </c>
      <c r="B1124" s="1">
        <v>44059</v>
      </c>
      <c r="C1124" s="1">
        <v>44144</v>
      </c>
      <c r="D1124" s="1">
        <v>44378</v>
      </c>
      <c r="E1124">
        <v>2538.6999999999998</v>
      </c>
      <c r="F1124">
        <f t="shared" si="52"/>
        <v>2020</v>
      </c>
      <c r="G1124">
        <f t="shared" si="53"/>
        <v>2021</v>
      </c>
      <c r="H1124">
        <f t="shared" si="51"/>
        <v>1</v>
      </c>
    </row>
    <row r="1125" spans="1:8" x14ac:dyDescent="0.25">
      <c r="A1125" t="s">
        <v>2742</v>
      </c>
      <c r="B1125" s="1">
        <v>44557</v>
      </c>
      <c r="C1125" s="1">
        <v>44589</v>
      </c>
      <c r="D1125" s="1">
        <v>44835</v>
      </c>
      <c r="E1125">
        <v>73456.92</v>
      </c>
      <c r="F1125">
        <f t="shared" si="52"/>
        <v>2021</v>
      </c>
      <c r="G1125">
        <f t="shared" si="53"/>
        <v>2022</v>
      </c>
      <c r="H1125">
        <f t="shared" si="51"/>
        <v>1</v>
      </c>
    </row>
    <row r="1126" spans="1:8" x14ac:dyDescent="0.25">
      <c r="A1126" t="s">
        <v>2410</v>
      </c>
      <c r="B1126" s="1">
        <v>44405</v>
      </c>
      <c r="C1126" s="1">
        <v>44407</v>
      </c>
      <c r="D1126" s="1">
        <v>44606</v>
      </c>
      <c r="E1126">
        <v>66657.94</v>
      </c>
      <c r="F1126">
        <f t="shared" si="52"/>
        <v>2021</v>
      </c>
      <c r="G1126">
        <f t="shared" si="53"/>
        <v>2022</v>
      </c>
      <c r="H1126">
        <f t="shared" si="51"/>
        <v>1</v>
      </c>
    </row>
    <row r="1127" spans="1:8" x14ac:dyDescent="0.25">
      <c r="A1127" t="s">
        <v>2451</v>
      </c>
      <c r="B1127" s="1">
        <v>44516</v>
      </c>
      <c r="C1127" s="1">
        <v>44553</v>
      </c>
      <c r="D1127" s="1">
        <v>45095</v>
      </c>
      <c r="E1127">
        <v>82838.759999999995</v>
      </c>
      <c r="F1127">
        <f t="shared" si="52"/>
        <v>2021</v>
      </c>
      <c r="G1127">
        <f t="shared" si="53"/>
        <v>2023</v>
      </c>
      <c r="H1127">
        <f t="shared" si="51"/>
        <v>2</v>
      </c>
    </row>
    <row r="1128" spans="1:8" x14ac:dyDescent="0.25">
      <c r="A1128" t="s">
        <v>2678</v>
      </c>
      <c r="B1128" s="1">
        <v>44911</v>
      </c>
      <c r="C1128" s="1">
        <v>44974</v>
      </c>
      <c r="D1128" s="1">
        <v>45196</v>
      </c>
      <c r="E1128">
        <v>53712.38</v>
      </c>
      <c r="F1128">
        <f t="shared" si="52"/>
        <v>2022</v>
      </c>
      <c r="G1128">
        <f t="shared" si="53"/>
        <v>2023</v>
      </c>
      <c r="H1128">
        <f t="shared" si="51"/>
        <v>1</v>
      </c>
    </row>
    <row r="1129" spans="1:8" x14ac:dyDescent="0.25">
      <c r="A1129" t="s">
        <v>2256</v>
      </c>
      <c r="B1129" s="1">
        <v>44198</v>
      </c>
      <c r="C1129" s="1">
        <v>44246</v>
      </c>
      <c r="D1129" s="1">
        <v>44679</v>
      </c>
      <c r="E1129">
        <v>53237.84</v>
      </c>
      <c r="F1129">
        <f t="shared" si="52"/>
        <v>2021</v>
      </c>
      <c r="G1129">
        <f t="shared" si="53"/>
        <v>2022</v>
      </c>
      <c r="H1129">
        <f t="shared" si="51"/>
        <v>1</v>
      </c>
    </row>
    <row r="1130" spans="1:8" x14ac:dyDescent="0.25">
      <c r="A1130" t="s">
        <v>2174</v>
      </c>
      <c r="B1130" s="1">
        <v>44367</v>
      </c>
      <c r="C1130" s="1">
        <v>44372</v>
      </c>
      <c r="D1130" s="1">
        <v>44407</v>
      </c>
      <c r="E1130">
        <v>55523.71</v>
      </c>
      <c r="F1130">
        <f t="shared" si="52"/>
        <v>2021</v>
      </c>
      <c r="G1130">
        <f t="shared" si="53"/>
        <v>2021</v>
      </c>
      <c r="H1130">
        <f t="shared" si="51"/>
        <v>0</v>
      </c>
    </row>
    <row r="1131" spans="1:8" x14ac:dyDescent="0.25">
      <c r="A1131" t="s">
        <v>2338</v>
      </c>
      <c r="B1131" s="1">
        <v>44438</v>
      </c>
      <c r="C1131" s="1">
        <v>44509</v>
      </c>
      <c r="D1131" s="1">
        <v>44752</v>
      </c>
      <c r="E1131">
        <v>45156.88</v>
      </c>
      <c r="F1131">
        <f t="shared" si="52"/>
        <v>2021</v>
      </c>
      <c r="G1131">
        <f t="shared" si="53"/>
        <v>2022</v>
      </c>
      <c r="H1131">
        <f t="shared" si="51"/>
        <v>1</v>
      </c>
    </row>
    <row r="1132" spans="1:8" x14ac:dyDescent="0.25">
      <c r="A1132" t="s">
        <v>2343</v>
      </c>
      <c r="B1132" s="1">
        <v>44526</v>
      </c>
      <c r="D1132" s="1">
        <v>44857</v>
      </c>
      <c r="E1132">
        <v>81351.570000000007</v>
      </c>
      <c r="F1132">
        <f t="shared" si="52"/>
        <v>2021</v>
      </c>
      <c r="G1132">
        <f t="shared" si="53"/>
        <v>2022</v>
      </c>
      <c r="H1132">
        <f t="shared" si="51"/>
        <v>1</v>
      </c>
    </row>
    <row r="1133" spans="1:8" x14ac:dyDescent="0.25">
      <c r="A1133" t="s">
        <v>2762</v>
      </c>
      <c r="B1133" s="1">
        <v>44194</v>
      </c>
      <c r="C1133" s="1">
        <v>44213</v>
      </c>
      <c r="D1133" s="1">
        <v>44382</v>
      </c>
      <c r="E1133">
        <v>76510.990000000005</v>
      </c>
      <c r="F1133">
        <f t="shared" si="52"/>
        <v>2020</v>
      </c>
      <c r="G1133">
        <f t="shared" si="53"/>
        <v>2021</v>
      </c>
      <c r="H1133">
        <f t="shared" si="51"/>
        <v>1</v>
      </c>
    </row>
    <row r="1134" spans="1:8" x14ac:dyDescent="0.25">
      <c r="A1134" t="s">
        <v>2377</v>
      </c>
      <c r="B1134" s="1">
        <v>45120</v>
      </c>
      <c r="C1134" s="1">
        <v>45137</v>
      </c>
      <c r="D1134" s="1">
        <v>45216</v>
      </c>
      <c r="E1134">
        <v>-9024.2900000000009</v>
      </c>
      <c r="F1134">
        <f t="shared" si="52"/>
        <v>2023</v>
      </c>
      <c r="G1134">
        <f t="shared" si="53"/>
        <v>2023</v>
      </c>
      <c r="H1134">
        <f t="shared" si="51"/>
        <v>0</v>
      </c>
    </row>
    <row r="1135" spans="1:8" x14ac:dyDescent="0.25">
      <c r="A1135" t="s">
        <v>2384</v>
      </c>
      <c r="B1135" s="1">
        <v>44419</v>
      </c>
      <c r="C1135" s="1">
        <v>44436</v>
      </c>
      <c r="D1135" s="1">
        <v>44639</v>
      </c>
      <c r="E1135">
        <v>51067.95</v>
      </c>
      <c r="F1135">
        <f t="shared" si="52"/>
        <v>2021</v>
      </c>
      <c r="G1135">
        <f t="shared" si="53"/>
        <v>2022</v>
      </c>
      <c r="H1135">
        <f t="shared" si="51"/>
        <v>1</v>
      </c>
    </row>
    <row r="1136" spans="1:8" x14ac:dyDescent="0.25">
      <c r="A1136" t="s">
        <v>2593</v>
      </c>
      <c r="B1136" s="1">
        <v>44362</v>
      </c>
      <c r="C1136" s="1">
        <v>44393</v>
      </c>
      <c r="D1136" s="1">
        <v>44710</v>
      </c>
      <c r="E1136">
        <v>-12118.69</v>
      </c>
      <c r="F1136">
        <f t="shared" si="52"/>
        <v>2021</v>
      </c>
      <c r="G1136">
        <f t="shared" si="53"/>
        <v>2022</v>
      </c>
      <c r="H1136">
        <f t="shared" si="51"/>
        <v>1</v>
      </c>
    </row>
    <row r="1137" spans="1:8" x14ac:dyDescent="0.25">
      <c r="A1137" t="s">
        <v>2675</v>
      </c>
      <c r="B1137" s="1">
        <v>45426</v>
      </c>
      <c r="C1137" s="1">
        <v>45443</v>
      </c>
      <c r="D1137" s="1">
        <v>45677</v>
      </c>
      <c r="E1137">
        <v>75788.03</v>
      </c>
      <c r="F1137">
        <f t="shared" si="52"/>
        <v>2024</v>
      </c>
      <c r="G1137">
        <f t="shared" si="53"/>
        <v>2025</v>
      </c>
      <c r="H1137">
        <f t="shared" si="51"/>
        <v>1</v>
      </c>
    </row>
    <row r="1138" spans="1:8" x14ac:dyDescent="0.25">
      <c r="A1138" t="s">
        <v>2363</v>
      </c>
      <c r="B1138" s="1">
        <v>44676</v>
      </c>
      <c r="C1138" s="1">
        <v>44715</v>
      </c>
      <c r="D1138" s="1">
        <v>45275</v>
      </c>
      <c r="E1138">
        <v>54374.59</v>
      </c>
      <c r="F1138">
        <f t="shared" si="52"/>
        <v>2022</v>
      </c>
      <c r="G1138">
        <f t="shared" si="53"/>
        <v>2023</v>
      </c>
      <c r="H1138">
        <f t="shared" si="51"/>
        <v>1</v>
      </c>
    </row>
    <row r="1139" spans="1:8" x14ac:dyDescent="0.25">
      <c r="A1139" t="s">
        <v>2763</v>
      </c>
      <c r="B1139" s="1">
        <v>44165</v>
      </c>
      <c r="C1139" s="1">
        <v>44204</v>
      </c>
      <c r="D1139" s="1">
        <v>44288</v>
      </c>
      <c r="E1139">
        <v>-11407.35</v>
      </c>
      <c r="F1139">
        <f t="shared" si="52"/>
        <v>2020</v>
      </c>
      <c r="G1139">
        <f t="shared" si="53"/>
        <v>2021</v>
      </c>
      <c r="H1139">
        <f t="shared" si="51"/>
        <v>1</v>
      </c>
    </row>
    <row r="1140" spans="1:8" x14ac:dyDescent="0.25">
      <c r="A1140" t="s">
        <v>2764</v>
      </c>
      <c r="B1140" s="1">
        <v>43983</v>
      </c>
      <c r="C1140" s="1">
        <v>44048</v>
      </c>
      <c r="D1140" s="1">
        <v>44313</v>
      </c>
      <c r="E1140">
        <v>45488.93</v>
      </c>
      <c r="F1140">
        <f t="shared" si="52"/>
        <v>2020</v>
      </c>
      <c r="G1140">
        <f t="shared" si="53"/>
        <v>2021</v>
      </c>
      <c r="H1140">
        <f t="shared" si="51"/>
        <v>1</v>
      </c>
    </row>
    <row r="1141" spans="1:8" x14ac:dyDescent="0.25">
      <c r="A1141" t="s">
        <v>2595</v>
      </c>
      <c r="B1141" s="1">
        <v>45523</v>
      </c>
      <c r="C1141" s="1">
        <v>45569</v>
      </c>
      <c r="D1141" s="1">
        <v>45794</v>
      </c>
      <c r="E1141">
        <v>69024.94</v>
      </c>
      <c r="F1141">
        <f t="shared" si="52"/>
        <v>2024</v>
      </c>
      <c r="G1141">
        <f t="shared" si="53"/>
        <v>2025</v>
      </c>
      <c r="H1141">
        <f t="shared" si="51"/>
        <v>1</v>
      </c>
    </row>
    <row r="1142" spans="1:8" x14ac:dyDescent="0.25">
      <c r="A1142" t="s">
        <v>2765</v>
      </c>
      <c r="B1142" s="1">
        <v>45474</v>
      </c>
      <c r="C1142" s="1">
        <v>45515</v>
      </c>
      <c r="D1142" s="1">
        <v>45541</v>
      </c>
      <c r="E1142">
        <v>61835.29</v>
      </c>
      <c r="F1142">
        <f t="shared" si="52"/>
        <v>2024</v>
      </c>
      <c r="G1142">
        <f t="shared" si="53"/>
        <v>2024</v>
      </c>
      <c r="H1142">
        <f t="shared" si="51"/>
        <v>0</v>
      </c>
    </row>
    <row r="1143" spans="1:8" x14ac:dyDescent="0.25">
      <c r="A1143" t="s">
        <v>2766</v>
      </c>
      <c r="B1143" s="1">
        <v>45203</v>
      </c>
      <c r="C1143" s="1">
        <v>45228</v>
      </c>
      <c r="D1143" s="1">
        <v>45409</v>
      </c>
      <c r="E1143">
        <v>23499.45</v>
      </c>
      <c r="F1143">
        <f t="shared" si="52"/>
        <v>2023</v>
      </c>
      <c r="G1143">
        <f t="shared" si="53"/>
        <v>2024</v>
      </c>
      <c r="H1143">
        <f t="shared" si="51"/>
        <v>1</v>
      </c>
    </row>
    <row r="1144" spans="1:8" x14ac:dyDescent="0.25">
      <c r="A1144" t="s">
        <v>2351</v>
      </c>
      <c r="B1144" s="1">
        <v>44988</v>
      </c>
      <c r="C1144" s="1">
        <v>45075</v>
      </c>
      <c r="D1144" s="1">
        <v>45537</v>
      </c>
      <c r="E1144">
        <v>-17922</v>
      </c>
      <c r="F1144">
        <f t="shared" si="52"/>
        <v>2023</v>
      </c>
      <c r="G1144">
        <f t="shared" si="53"/>
        <v>2024</v>
      </c>
      <c r="H1144">
        <f t="shared" si="51"/>
        <v>1</v>
      </c>
    </row>
    <row r="1145" spans="1:8" x14ac:dyDescent="0.25">
      <c r="A1145" t="s">
        <v>2767</v>
      </c>
      <c r="B1145" s="1">
        <v>45080</v>
      </c>
      <c r="C1145" s="1">
        <v>45090</v>
      </c>
      <c r="D1145" s="1">
        <v>45430</v>
      </c>
      <c r="E1145">
        <v>53351.6</v>
      </c>
      <c r="F1145">
        <f t="shared" si="52"/>
        <v>2023</v>
      </c>
      <c r="G1145">
        <f t="shared" si="53"/>
        <v>2024</v>
      </c>
      <c r="H1145">
        <f t="shared" si="51"/>
        <v>1</v>
      </c>
    </row>
    <row r="1146" spans="1:8" x14ac:dyDescent="0.25">
      <c r="A1146" t="s">
        <v>2768</v>
      </c>
      <c r="B1146" s="1">
        <v>43890</v>
      </c>
      <c r="C1146" s="1">
        <v>43926</v>
      </c>
      <c r="D1146" s="1">
        <v>44052</v>
      </c>
      <c r="E1146">
        <v>-6883.01</v>
      </c>
      <c r="F1146">
        <f t="shared" si="52"/>
        <v>2020</v>
      </c>
      <c r="G1146">
        <f t="shared" si="53"/>
        <v>2020</v>
      </c>
      <c r="H1146">
        <f t="shared" si="51"/>
        <v>0</v>
      </c>
    </row>
    <row r="1147" spans="1:8" x14ac:dyDescent="0.25">
      <c r="A1147" t="s">
        <v>2145</v>
      </c>
      <c r="B1147" s="1">
        <v>44422</v>
      </c>
      <c r="C1147" s="1">
        <v>44511</v>
      </c>
      <c r="D1147" s="1">
        <v>44378</v>
      </c>
      <c r="E1147">
        <v>-3446.21</v>
      </c>
      <c r="F1147">
        <f t="shared" si="52"/>
        <v>2021</v>
      </c>
      <c r="G1147">
        <f t="shared" si="53"/>
        <v>2021</v>
      </c>
      <c r="H1147">
        <f t="shared" si="51"/>
        <v>0</v>
      </c>
    </row>
    <row r="1148" spans="1:8" x14ac:dyDescent="0.25">
      <c r="A1148" t="s">
        <v>2640</v>
      </c>
      <c r="B1148" s="1">
        <v>45302</v>
      </c>
      <c r="C1148" s="1">
        <v>45339</v>
      </c>
      <c r="D1148" s="1">
        <v>45658</v>
      </c>
      <c r="E1148">
        <v>32731.79</v>
      </c>
      <c r="F1148">
        <f t="shared" si="52"/>
        <v>2024</v>
      </c>
      <c r="G1148">
        <f t="shared" si="53"/>
        <v>2025</v>
      </c>
      <c r="H1148">
        <f t="shared" si="51"/>
        <v>1</v>
      </c>
    </row>
    <row r="1149" spans="1:8" x14ac:dyDescent="0.25">
      <c r="A1149" t="s">
        <v>2459</v>
      </c>
      <c r="B1149" s="1">
        <v>45232</v>
      </c>
      <c r="C1149" s="1">
        <v>45262</v>
      </c>
      <c r="D1149" s="1">
        <v>45485</v>
      </c>
      <c r="E1149">
        <v>37014.67</v>
      </c>
      <c r="F1149">
        <f t="shared" si="52"/>
        <v>2023</v>
      </c>
      <c r="G1149">
        <f t="shared" si="53"/>
        <v>2024</v>
      </c>
      <c r="H1149">
        <f t="shared" si="51"/>
        <v>1</v>
      </c>
    </row>
    <row r="1150" spans="1:8" x14ac:dyDescent="0.25">
      <c r="A1150" t="s">
        <v>2602</v>
      </c>
      <c r="B1150" s="1">
        <v>44736</v>
      </c>
      <c r="C1150" s="1">
        <v>44793</v>
      </c>
      <c r="D1150" s="1">
        <v>45331</v>
      </c>
      <c r="E1150">
        <v>20563.07</v>
      </c>
      <c r="F1150">
        <f t="shared" si="52"/>
        <v>2022</v>
      </c>
      <c r="G1150">
        <f t="shared" si="53"/>
        <v>2024</v>
      </c>
      <c r="H1150">
        <f t="shared" si="51"/>
        <v>2</v>
      </c>
    </row>
    <row r="1151" spans="1:8" x14ac:dyDescent="0.25">
      <c r="A1151" t="s">
        <v>2643</v>
      </c>
      <c r="B1151" s="1">
        <v>45284</v>
      </c>
      <c r="C1151" s="1">
        <v>45347</v>
      </c>
      <c r="D1151" s="1">
        <v>45655</v>
      </c>
      <c r="E1151">
        <v>60478.67</v>
      </c>
      <c r="F1151">
        <f t="shared" si="52"/>
        <v>2023</v>
      </c>
      <c r="G1151">
        <f t="shared" si="53"/>
        <v>2024</v>
      </c>
      <c r="H1151">
        <f t="shared" si="51"/>
        <v>1</v>
      </c>
    </row>
    <row r="1152" spans="1:8" x14ac:dyDescent="0.25">
      <c r="A1152" t="s">
        <v>2468</v>
      </c>
      <c r="B1152" s="1">
        <v>44632</v>
      </c>
      <c r="C1152" s="1">
        <v>44641</v>
      </c>
      <c r="D1152" s="1">
        <v>44975</v>
      </c>
      <c r="E1152">
        <v>44440.69</v>
      </c>
      <c r="F1152">
        <f t="shared" si="52"/>
        <v>2022</v>
      </c>
      <c r="G1152">
        <f t="shared" si="53"/>
        <v>2023</v>
      </c>
      <c r="H1152">
        <f t="shared" si="51"/>
        <v>1</v>
      </c>
    </row>
    <row r="1153" spans="1:8" x14ac:dyDescent="0.25">
      <c r="A1153" t="s">
        <v>2470</v>
      </c>
      <c r="B1153" s="1">
        <v>44894</v>
      </c>
      <c r="C1153" s="1">
        <v>44936</v>
      </c>
      <c r="D1153" s="1">
        <v>45466</v>
      </c>
      <c r="E1153">
        <v>-19088</v>
      </c>
      <c r="F1153">
        <f t="shared" si="52"/>
        <v>2022</v>
      </c>
      <c r="G1153">
        <f t="shared" si="53"/>
        <v>2024</v>
      </c>
      <c r="H1153">
        <f t="shared" si="51"/>
        <v>2</v>
      </c>
    </row>
    <row r="1154" spans="1:8" x14ac:dyDescent="0.25">
      <c r="A1154" t="s">
        <v>2384</v>
      </c>
      <c r="B1154" s="1">
        <v>44419</v>
      </c>
      <c r="C1154" s="1">
        <v>44436</v>
      </c>
      <c r="D1154" s="1">
        <v>44736</v>
      </c>
      <c r="E1154">
        <v>79238.58</v>
      </c>
      <c r="F1154">
        <f t="shared" si="52"/>
        <v>2021</v>
      </c>
      <c r="G1154">
        <f t="shared" si="53"/>
        <v>2022</v>
      </c>
      <c r="H1154">
        <f t="shared" ref="H1154:H1217" si="54">MAX(0,G1154-F1154)</f>
        <v>1</v>
      </c>
    </row>
    <row r="1155" spans="1:8" x14ac:dyDescent="0.25">
      <c r="A1155" t="s">
        <v>2608</v>
      </c>
      <c r="B1155" s="1">
        <v>44728</v>
      </c>
      <c r="D1155" s="1">
        <v>45002</v>
      </c>
      <c r="E1155">
        <v>66266.62</v>
      </c>
      <c r="F1155">
        <f t="shared" ref="F1155:F1218" si="55">YEAR(B1155)</f>
        <v>2022</v>
      </c>
      <c r="G1155">
        <f t="shared" ref="G1155:G1218" si="56">YEAR(D1155)</f>
        <v>2023</v>
      </c>
      <c r="H1155">
        <f t="shared" si="54"/>
        <v>1</v>
      </c>
    </row>
    <row r="1156" spans="1:8" x14ac:dyDescent="0.25">
      <c r="A1156" t="s">
        <v>2313</v>
      </c>
      <c r="B1156" s="1">
        <v>44958</v>
      </c>
      <c r="C1156" s="1">
        <v>44974</v>
      </c>
      <c r="D1156" s="1">
        <v>45382</v>
      </c>
      <c r="E1156">
        <v>20118.41</v>
      </c>
      <c r="F1156">
        <f t="shared" si="55"/>
        <v>2023</v>
      </c>
      <c r="G1156">
        <f t="shared" si="56"/>
        <v>2024</v>
      </c>
      <c r="H1156">
        <f t="shared" si="54"/>
        <v>1</v>
      </c>
    </row>
    <row r="1157" spans="1:8" x14ac:dyDescent="0.25">
      <c r="A1157" t="s">
        <v>2769</v>
      </c>
      <c r="B1157" s="1">
        <v>45638</v>
      </c>
      <c r="C1157" s="1">
        <v>45725</v>
      </c>
      <c r="D1157" s="1">
        <v>45773</v>
      </c>
      <c r="E1157">
        <v>31452.91</v>
      </c>
      <c r="F1157">
        <f t="shared" si="55"/>
        <v>2024</v>
      </c>
      <c r="G1157">
        <f t="shared" si="56"/>
        <v>2025</v>
      </c>
      <c r="H1157">
        <f t="shared" si="54"/>
        <v>1</v>
      </c>
    </row>
    <row r="1158" spans="1:8" x14ac:dyDescent="0.25">
      <c r="A1158" t="s">
        <v>2603</v>
      </c>
      <c r="B1158" s="1">
        <v>44233</v>
      </c>
      <c r="C1158" s="1">
        <v>44263</v>
      </c>
      <c r="D1158" s="1">
        <v>44556</v>
      </c>
      <c r="E1158">
        <v>4246.3999999999996</v>
      </c>
      <c r="F1158">
        <f t="shared" si="55"/>
        <v>2021</v>
      </c>
      <c r="G1158">
        <f t="shared" si="56"/>
        <v>2021</v>
      </c>
      <c r="H1158">
        <f t="shared" si="54"/>
        <v>0</v>
      </c>
    </row>
    <row r="1159" spans="1:8" x14ac:dyDescent="0.25">
      <c r="A1159" t="s">
        <v>2770</v>
      </c>
      <c r="B1159" s="1">
        <v>45446</v>
      </c>
      <c r="C1159" s="1">
        <v>45493</v>
      </c>
      <c r="D1159" s="1">
        <v>45635</v>
      </c>
      <c r="E1159">
        <v>3154.64</v>
      </c>
      <c r="F1159">
        <f t="shared" si="55"/>
        <v>2024</v>
      </c>
      <c r="G1159">
        <f t="shared" si="56"/>
        <v>2024</v>
      </c>
      <c r="H1159">
        <f t="shared" si="54"/>
        <v>0</v>
      </c>
    </row>
    <row r="1160" spans="1:8" x14ac:dyDescent="0.25">
      <c r="A1160" t="s">
        <v>2771</v>
      </c>
      <c r="B1160" s="1">
        <v>44020</v>
      </c>
      <c r="C1160" s="1">
        <v>44085</v>
      </c>
      <c r="D1160" s="1">
        <v>44277</v>
      </c>
      <c r="E1160">
        <v>2128.85</v>
      </c>
      <c r="F1160">
        <f t="shared" si="55"/>
        <v>2020</v>
      </c>
      <c r="G1160">
        <f t="shared" si="56"/>
        <v>2021</v>
      </c>
      <c r="H1160">
        <f t="shared" si="54"/>
        <v>1</v>
      </c>
    </row>
    <row r="1161" spans="1:8" x14ac:dyDescent="0.25">
      <c r="A1161" t="s">
        <v>2515</v>
      </c>
      <c r="B1161" s="1">
        <v>45444</v>
      </c>
      <c r="C1161" s="1">
        <v>45520</v>
      </c>
      <c r="D1161" s="1">
        <v>45802</v>
      </c>
      <c r="E1161">
        <v>23718.26</v>
      </c>
      <c r="F1161">
        <f t="shared" si="55"/>
        <v>2024</v>
      </c>
      <c r="G1161">
        <f t="shared" si="56"/>
        <v>2025</v>
      </c>
      <c r="H1161">
        <f t="shared" si="54"/>
        <v>1</v>
      </c>
    </row>
    <row r="1162" spans="1:8" x14ac:dyDescent="0.25">
      <c r="A1162" t="s">
        <v>2772</v>
      </c>
      <c r="B1162" s="1">
        <v>44072</v>
      </c>
      <c r="C1162" s="1">
        <v>44129</v>
      </c>
      <c r="D1162" s="1">
        <v>44277</v>
      </c>
      <c r="E1162">
        <v>31385.58</v>
      </c>
      <c r="F1162">
        <f t="shared" si="55"/>
        <v>2020</v>
      </c>
      <c r="G1162">
        <f t="shared" si="56"/>
        <v>2021</v>
      </c>
      <c r="H1162">
        <f t="shared" si="54"/>
        <v>1</v>
      </c>
    </row>
    <row r="1163" spans="1:8" x14ac:dyDescent="0.25">
      <c r="A1163" t="s">
        <v>2552</v>
      </c>
      <c r="B1163" s="1">
        <v>44797</v>
      </c>
      <c r="C1163" s="1">
        <v>44857</v>
      </c>
      <c r="D1163" s="1">
        <v>45034</v>
      </c>
      <c r="E1163">
        <v>-4202.21</v>
      </c>
      <c r="F1163">
        <f t="shared" si="55"/>
        <v>2022</v>
      </c>
      <c r="G1163">
        <f t="shared" si="56"/>
        <v>2023</v>
      </c>
      <c r="H1163">
        <f t="shared" si="54"/>
        <v>1</v>
      </c>
    </row>
    <row r="1164" spans="1:8" x14ac:dyDescent="0.25">
      <c r="A1164" t="s">
        <v>2694</v>
      </c>
      <c r="B1164" s="1">
        <v>44090</v>
      </c>
      <c r="C1164" s="1">
        <v>44096</v>
      </c>
      <c r="D1164" s="1">
        <v>44354</v>
      </c>
      <c r="E1164">
        <v>38927.75</v>
      </c>
      <c r="F1164">
        <f t="shared" si="55"/>
        <v>2020</v>
      </c>
      <c r="G1164">
        <f t="shared" si="56"/>
        <v>2021</v>
      </c>
      <c r="H1164">
        <f t="shared" si="54"/>
        <v>1</v>
      </c>
    </row>
    <row r="1165" spans="1:8" x14ac:dyDescent="0.25">
      <c r="A1165" t="s">
        <v>2450</v>
      </c>
      <c r="B1165" s="1">
        <v>44103</v>
      </c>
      <c r="C1165" s="1">
        <v>44133</v>
      </c>
      <c r="D1165" s="1">
        <v>44481</v>
      </c>
      <c r="E1165">
        <v>67074.820000000007</v>
      </c>
      <c r="F1165">
        <f t="shared" si="55"/>
        <v>2020</v>
      </c>
      <c r="G1165">
        <f t="shared" si="56"/>
        <v>2021</v>
      </c>
      <c r="H1165">
        <f t="shared" si="54"/>
        <v>1</v>
      </c>
    </row>
    <row r="1166" spans="1:8" x14ac:dyDescent="0.25">
      <c r="A1166" t="s">
        <v>2773</v>
      </c>
      <c r="B1166" s="1">
        <v>44222</v>
      </c>
      <c r="C1166" s="1">
        <v>44260</v>
      </c>
      <c r="D1166" s="1">
        <v>44529</v>
      </c>
      <c r="E1166">
        <v>38238.18</v>
      </c>
      <c r="F1166">
        <f t="shared" si="55"/>
        <v>2021</v>
      </c>
      <c r="G1166">
        <f t="shared" si="56"/>
        <v>2021</v>
      </c>
      <c r="H1166">
        <f t="shared" si="54"/>
        <v>0</v>
      </c>
    </row>
    <row r="1167" spans="1:8" x14ac:dyDescent="0.25">
      <c r="A1167" t="s">
        <v>2774</v>
      </c>
      <c r="B1167" s="1">
        <v>45652</v>
      </c>
      <c r="C1167" s="1">
        <v>45654</v>
      </c>
      <c r="D1167" s="1">
        <v>45728</v>
      </c>
      <c r="E1167">
        <v>78833.3</v>
      </c>
      <c r="F1167">
        <f t="shared" si="55"/>
        <v>2024</v>
      </c>
      <c r="G1167">
        <f t="shared" si="56"/>
        <v>2025</v>
      </c>
      <c r="H1167">
        <f t="shared" si="54"/>
        <v>1</v>
      </c>
    </row>
    <row r="1168" spans="1:8" x14ac:dyDescent="0.25">
      <c r="A1168" t="s">
        <v>2561</v>
      </c>
      <c r="B1168" s="1">
        <v>44114</v>
      </c>
      <c r="C1168" s="1">
        <v>44117</v>
      </c>
      <c r="D1168" s="1">
        <v>44309</v>
      </c>
      <c r="E1168">
        <v>58534.95</v>
      </c>
      <c r="F1168">
        <f t="shared" si="55"/>
        <v>2020</v>
      </c>
      <c r="G1168">
        <f t="shared" si="56"/>
        <v>2021</v>
      </c>
      <c r="H1168">
        <f t="shared" si="54"/>
        <v>1</v>
      </c>
    </row>
    <row r="1169" spans="1:8" x14ac:dyDescent="0.25">
      <c r="A1169" t="s">
        <v>2700</v>
      </c>
      <c r="B1169" s="1">
        <v>44378</v>
      </c>
      <c r="C1169" s="1">
        <v>44426</v>
      </c>
      <c r="D1169" s="1">
        <v>44651</v>
      </c>
      <c r="E1169">
        <v>-8616.51</v>
      </c>
      <c r="F1169">
        <f t="shared" si="55"/>
        <v>2021</v>
      </c>
      <c r="G1169">
        <f t="shared" si="56"/>
        <v>2022</v>
      </c>
      <c r="H1169">
        <f t="shared" si="54"/>
        <v>1</v>
      </c>
    </row>
    <row r="1170" spans="1:8" x14ac:dyDescent="0.25">
      <c r="A1170" t="s">
        <v>2551</v>
      </c>
      <c r="B1170" s="1">
        <v>44275</v>
      </c>
      <c r="C1170" s="1">
        <v>44313</v>
      </c>
      <c r="D1170" s="1">
        <v>44459</v>
      </c>
      <c r="E1170">
        <v>38502.639999999999</v>
      </c>
      <c r="F1170">
        <f t="shared" si="55"/>
        <v>2021</v>
      </c>
      <c r="G1170">
        <f t="shared" si="56"/>
        <v>2021</v>
      </c>
      <c r="H1170">
        <f t="shared" si="54"/>
        <v>0</v>
      </c>
    </row>
    <row r="1171" spans="1:8" x14ac:dyDescent="0.25">
      <c r="A1171" t="s">
        <v>2413</v>
      </c>
      <c r="B1171" s="1">
        <v>44936</v>
      </c>
      <c r="C1171" s="1">
        <v>44968</v>
      </c>
      <c r="D1171" s="1">
        <v>45675</v>
      </c>
      <c r="E1171">
        <v>80827.5</v>
      </c>
      <c r="F1171">
        <f t="shared" si="55"/>
        <v>2023</v>
      </c>
      <c r="G1171">
        <f t="shared" si="56"/>
        <v>2025</v>
      </c>
      <c r="H1171">
        <f t="shared" si="54"/>
        <v>2</v>
      </c>
    </row>
    <row r="1172" spans="1:8" x14ac:dyDescent="0.25">
      <c r="A1172" t="s">
        <v>2775</v>
      </c>
      <c r="B1172" s="1">
        <v>43979</v>
      </c>
      <c r="C1172" s="1">
        <v>43980</v>
      </c>
      <c r="D1172" s="1">
        <v>44268</v>
      </c>
      <c r="E1172">
        <v>-12320.61</v>
      </c>
      <c r="F1172">
        <f t="shared" si="55"/>
        <v>2020</v>
      </c>
      <c r="G1172">
        <f t="shared" si="56"/>
        <v>2021</v>
      </c>
      <c r="H1172">
        <f t="shared" si="54"/>
        <v>1</v>
      </c>
    </row>
    <row r="1173" spans="1:8" x14ac:dyDescent="0.25">
      <c r="A1173" t="s">
        <v>2776</v>
      </c>
      <c r="B1173" s="1">
        <v>44064</v>
      </c>
      <c r="C1173" s="1">
        <v>44115</v>
      </c>
      <c r="D1173" s="1">
        <v>44355</v>
      </c>
      <c r="E1173">
        <v>19745.98</v>
      </c>
      <c r="F1173">
        <f t="shared" si="55"/>
        <v>2020</v>
      </c>
      <c r="G1173">
        <f t="shared" si="56"/>
        <v>2021</v>
      </c>
      <c r="H1173">
        <f t="shared" si="54"/>
        <v>1</v>
      </c>
    </row>
    <row r="1174" spans="1:8" x14ac:dyDescent="0.25">
      <c r="A1174" t="s">
        <v>2747</v>
      </c>
      <c r="B1174" s="1">
        <v>45022</v>
      </c>
      <c r="C1174" s="1">
        <v>45072</v>
      </c>
      <c r="D1174" s="1">
        <v>45401</v>
      </c>
      <c r="E1174">
        <v>-15359.77</v>
      </c>
      <c r="F1174">
        <f t="shared" si="55"/>
        <v>2023</v>
      </c>
      <c r="G1174">
        <f t="shared" si="56"/>
        <v>2024</v>
      </c>
      <c r="H1174">
        <f t="shared" si="54"/>
        <v>1</v>
      </c>
    </row>
    <row r="1175" spans="1:8" x14ac:dyDescent="0.25">
      <c r="A1175" t="s">
        <v>2314</v>
      </c>
      <c r="B1175" s="1">
        <v>45019</v>
      </c>
      <c r="C1175" s="1">
        <v>45101</v>
      </c>
      <c r="D1175" s="1">
        <v>45181</v>
      </c>
      <c r="E1175">
        <v>23145.84</v>
      </c>
      <c r="F1175">
        <f t="shared" si="55"/>
        <v>2023</v>
      </c>
      <c r="G1175">
        <f t="shared" si="56"/>
        <v>2023</v>
      </c>
      <c r="H1175">
        <f t="shared" si="54"/>
        <v>0</v>
      </c>
    </row>
    <row r="1176" spans="1:8" x14ac:dyDescent="0.25">
      <c r="A1176" t="s">
        <v>2490</v>
      </c>
      <c r="B1176" s="1">
        <v>45025</v>
      </c>
      <c r="C1176" s="1">
        <v>45073</v>
      </c>
      <c r="D1176" s="1">
        <v>45351</v>
      </c>
      <c r="E1176">
        <v>57114.71</v>
      </c>
      <c r="F1176">
        <f t="shared" si="55"/>
        <v>2023</v>
      </c>
      <c r="G1176">
        <f t="shared" si="56"/>
        <v>2024</v>
      </c>
      <c r="H1176">
        <f t="shared" si="54"/>
        <v>1</v>
      </c>
    </row>
    <row r="1177" spans="1:8" x14ac:dyDescent="0.25">
      <c r="A1177" t="s">
        <v>2150</v>
      </c>
      <c r="B1177" s="1">
        <v>44997</v>
      </c>
      <c r="C1177" s="1">
        <v>45012</v>
      </c>
      <c r="D1177" s="1">
        <v>45127</v>
      </c>
      <c r="E1177">
        <v>71519.100000000006</v>
      </c>
      <c r="F1177">
        <f t="shared" si="55"/>
        <v>2023</v>
      </c>
      <c r="G1177">
        <f t="shared" si="56"/>
        <v>2023</v>
      </c>
      <c r="H1177">
        <f t="shared" si="54"/>
        <v>0</v>
      </c>
    </row>
    <row r="1178" spans="1:8" x14ac:dyDescent="0.25">
      <c r="A1178" t="s">
        <v>2572</v>
      </c>
      <c r="B1178" s="1">
        <v>45096</v>
      </c>
      <c r="C1178" s="1">
        <v>45120</v>
      </c>
      <c r="D1178" s="1">
        <v>45622</v>
      </c>
      <c r="E1178">
        <v>42990.99</v>
      </c>
      <c r="F1178">
        <f t="shared" si="55"/>
        <v>2023</v>
      </c>
      <c r="G1178">
        <f t="shared" si="56"/>
        <v>2024</v>
      </c>
      <c r="H1178">
        <f t="shared" si="54"/>
        <v>1</v>
      </c>
    </row>
    <row r="1179" spans="1:8" x14ac:dyDescent="0.25">
      <c r="A1179" t="s">
        <v>2157</v>
      </c>
      <c r="B1179" s="1">
        <v>43906</v>
      </c>
      <c r="C1179" s="1">
        <v>43907</v>
      </c>
      <c r="D1179" s="1">
        <v>44180</v>
      </c>
      <c r="E1179">
        <v>37894.410000000003</v>
      </c>
      <c r="F1179">
        <f t="shared" si="55"/>
        <v>2020</v>
      </c>
      <c r="G1179">
        <f t="shared" si="56"/>
        <v>2020</v>
      </c>
      <c r="H1179">
        <f t="shared" si="54"/>
        <v>0</v>
      </c>
    </row>
    <row r="1180" spans="1:8" x14ac:dyDescent="0.25">
      <c r="A1180" t="s">
        <v>2777</v>
      </c>
      <c r="B1180" s="1">
        <v>44954</v>
      </c>
      <c r="C1180" s="1">
        <v>44996</v>
      </c>
      <c r="D1180" s="1">
        <v>45243</v>
      </c>
      <c r="E1180">
        <v>61236.43</v>
      </c>
      <c r="F1180">
        <f t="shared" si="55"/>
        <v>2023</v>
      </c>
      <c r="G1180">
        <f t="shared" si="56"/>
        <v>2023</v>
      </c>
      <c r="H1180">
        <f t="shared" si="54"/>
        <v>0</v>
      </c>
    </row>
    <row r="1181" spans="1:8" x14ac:dyDescent="0.25">
      <c r="A1181" t="s">
        <v>2778</v>
      </c>
      <c r="B1181" s="1">
        <v>44572</v>
      </c>
      <c r="D1181" s="1">
        <v>44667</v>
      </c>
      <c r="E1181">
        <v>26991.95</v>
      </c>
      <c r="F1181">
        <f t="shared" si="55"/>
        <v>2022</v>
      </c>
      <c r="G1181">
        <f t="shared" si="56"/>
        <v>2022</v>
      </c>
      <c r="H1181">
        <f t="shared" si="54"/>
        <v>0</v>
      </c>
    </row>
    <row r="1182" spans="1:8" x14ac:dyDescent="0.25">
      <c r="A1182" t="s">
        <v>2443</v>
      </c>
      <c r="B1182" s="1">
        <v>43926</v>
      </c>
      <c r="D1182" s="1">
        <v>44016</v>
      </c>
      <c r="E1182">
        <v>12861.46</v>
      </c>
      <c r="F1182">
        <f t="shared" si="55"/>
        <v>2020</v>
      </c>
      <c r="G1182">
        <f t="shared" si="56"/>
        <v>2020</v>
      </c>
      <c r="H1182">
        <f t="shared" si="54"/>
        <v>0</v>
      </c>
    </row>
    <row r="1183" spans="1:8" x14ac:dyDescent="0.25">
      <c r="A1183" t="s">
        <v>2764</v>
      </c>
      <c r="B1183" s="1">
        <v>43983</v>
      </c>
      <c r="C1183" s="1">
        <v>44048</v>
      </c>
      <c r="D1183" s="1">
        <v>44116</v>
      </c>
      <c r="E1183">
        <v>-24209.57</v>
      </c>
      <c r="F1183">
        <f t="shared" si="55"/>
        <v>2020</v>
      </c>
      <c r="G1183">
        <f t="shared" si="56"/>
        <v>2020</v>
      </c>
      <c r="H1183">
        <f t="shared" si="54"/>
        <v>0</v>
      </c>
    </row>
    <row r="1184" spans="1:8" x14ac:dyDescent="0.25">
      <c r="A1184" t="s">
        <v>2316</v>
      </c>
      <c r="B1184" s="1">
        <v>43976</v>
      </c>
      <c r="D1184" s="1">
        <v>44114</v>
      </c>
      <c r="E1184">
        <v>42986.35</v>
      </c>
      <c r="F1184">
        <f t="shared" si="55"/>
        <v>2020</v>
      </c>
      <c r="G1184">
        <f t="shared" si="56"/>
        <v>2020</v>
      </c>
      <c r="H1184">
        <f t="shared" si="54"/>
        <v>0</v>
      </c>
    </row>
    <row r="1185" spans="1:8" x14ac:dyDescent="0.25">
      <c r="A1185" t="s">
        <v>2519</v>
      </c>
      <c r="B1185" s="1">
        <v>43982</v>
      </c>
      <c r="C1185" s="1">
        <v>44005</v>
      </c>
      <c r="D1185" s="1">
        <v>44462</v>
      </c>
      <c r="E1185">
        <v>7249.71</v>
      </c>
      <c r="F1185">
        <f t="shared" si="55"/>
        <v>2020</v>
      </c>
      <c r="G1185">
        <f t="shared" si="56"/>
        <v>2021</v>
      </c>
      <c r="H1185">
        <f t="shared" si="54"/>
        <v>1</v>
      </c>
    </row>
    <row r="1186" spans="1:8" x14ac:dyDescent="0.25">
      <c r="A1186" t="s">
        <v>2582</v>
      </c>
      <c r="B1186" s="1">
        <v>44487</v>
      </c>
      <c r="C1186" s="1">
        <v>44528</v>
      </c>
      <c r="D1186" s="1">
        <v>44587</v>
      </c>
      <c r="E1186">
        <v>-11134.14</v>
      </c>
      <c r="F1186">
        <f t="shared" si="55"/>
        <v>2021</v>
      </c>
      <c r="G1186">
        <f t="shared" si="56"/>
        <v>2022</v>
      </c>
      <c r="H1186">
        <f t="shared" si="54"/>
        <v>1</v>
      </c>
    </row>
    <row r="1187" spans="1:8" x14ac:dyDescent="0.25">
      <c r="A1187" t="s">
        <v>2374</v>
      </c>
      <c r="B1187" s="1">
        <v>44914</v>
      </c>
      <c r="C1187" s="1">
        <v>44952</v>
      </c>
      <c r="D1187" s="1">
        <v>45381</v>
      </c>
      <c r="E1187">
        <v>54149.34</v>
      </c>
      <c r="F1187">
        <f t="shared" si="55"/>
        <v>2022</v>
      </c>
      <c r="G1187">
        <f t="shared" si="56"/>
        <v>2024</v>
      </c>
      <c r="H1187">
        <f t="shared" si="54"/>
        <v>2</v>
      </c>
    </row>
    <row r="1188" spans="1:8" x14ac:dyDescent="0.25">
      <c r="A1188" t="s">
        <v>2779</v>
      </c>
      <c r="B1188" s="1">
        <v>44858</v>
      </c>
      <c r="C1188" s="1">
        <v>44897</v>
      </c>
      <c r="D1188" s="1">
        <v>45115</v>
      </c>
      <c r="E1188">
        <v>40783.919999999998</v>
      </c>
      <c r="F1188">
        <f t="shared" si="55"/>
        <v>2022</v>
      </c>
      <c r="G1188">
        <f t="shared" si="56"/>
        <v>2023</v>
      </c>
      <c r="H1188">
        <f t="shared" si="54"/>
        <v>1</v>
      </c>
    </row>
    <row r="1189" spans="1:8" x14ac:dyDescent="0.25">
      <c r="A1189" t="s">
        <v>2780</v>
      </c>
      <c r="B1189" s="1">
        <v>44436</v>
      </c>
      <c r="C1189" s="1">
        <v>44443</v>
      </c>
      <c r="D1189" s="1">
        <v>44609</v>
      </c>
      <c r="E1189">
        <v>41287.94</v>
      </c>
      <c r="F1189">
        <f t="shared" si="55"/>
        <v>2021</v>
      </c>
      <c r="G1189">
        <f t="shared" si="56"/>
        <v>2022</v>
      </c>
      <c r="H1189">
        <f t="shared" si="54"/>
        <v>1</v>
      </c>
    </row>
    <row r="1190" spans="1:8" x14ac:dyDescent="0.25">
      <c r="A1190" t="s">
        <v>2309</v>
      </c>
      <c r="B1190" s="1">
        <v>44916</v>
      </c>
      <c r="C1190" s="1">
        <v>44918</v>
      </c>
      <c r="D1190" s="1">
        <v>45083</v>
      </c>
      <c r="E1190">
        <v>60454.15</v>
      </c>
      <c r="F1190">
        <f t="shared" si="55"/>
        <v>2022</v>
      </c>
      <c r="G1190">
        <f t="shared" si="56"/>
        <v>2023</v>
      </c>
      <c r="H1190">
        <f t="shared" si="54"/>
        <v>1</v>
      </c>
    </row>
    <row r="1191" spans="1:8" x14ac:dyDescent="0.25">
      <c r="A1191" t="s">
        <v>2781</v>
      </c>
      <c r="B1191" s="1">
        <v>44651</v>
      </c>
      <c r="C1191" s="1">
        <v>44734</v>
      </c>
      <c r="D1191" s="1">
        <v>44924</v>
      </c>
      <c r="E1191">
        <v>68840.67</v>
      </c>
      <c r="F1191">
        <f t="shared" si="55"/>
        <v>2022</v>
      </c>
      <c r="G1191">
        <f t="shared" si="56"/>
        <v>2022</v>
      </c>
      <c r="H1191">
        <f t="shared" si="54"/>
        <v>0</v>
      </c>
    </row>
    <row r="1192" spans="1:8" x14ac:dyDescent="0.25">
      <c r="A1192" t="s">
        <v>2757</v>
      </c>
      <c r="B1192" s="1">
        <v>43877</v>
      </c>
      <c r="C1192" s="1">
        <v>43898</v>
      </c>
      <c r="D1192" s="1">
        <v>43932</v>
      </c>
      <c r="E1192">
        <v>58732.13</v>
      </c>
      <c r="F1192">
        <f t="shared" si="55"/>
        <v>2020</v>
      </c>
      <c r="G1192">
        <f t="shared" si="56"/>
        <v>2020</v>
      </c>
      <c r="H1192">
        <f t="shared" si="54"/>
        <v>0</v>
      </c>
    </row>
    <row r="1193" spans="1:8" x14ac:dyDescent="0.25">
      <c r="A1193" t="s">
        <v>2743</v>
      </c>
      <c r="B1193" s="1">
        <v>44401</v>
      </c>
      <c r="C1193" s="1">
        <v>44463</v>
      </c>
      <c r="D1193" s="1">
        <v>44820</v>
      </c>
      <c r="E1193">
        <v>80657.48</v>
      </c>
      <c r="F1193">
        <f t="shared" si="55"/>
        <v>2021</v>
      </c>
      <c r="G1193">
        <f t="shared" si="56"/>
        <v>2022</v>
      </c>
      <c r="H1193">
        <f t="shared" si="54"/>
        <v>1</v>
      </c>
    </row>
    <row r="1194" spans="1:8" x14ac:dyDescent="0.25">
      <c r="A1194" t="s">
        <v>2658</v>
      </c>
      <c r="B1194" s="1">
        <v>45073</v>
      </c>
      <c r="C1194" s="1">
        <v>45085</v>
      </c>
      <c r="D1194" s="1">
        <v>45449</v>
      </c>
      <c r="E1194">
        <v>73926.75</v>
      </c>
      <c r="F1194">
        <f t="shared" si="55"/>
        <v>2023</v>
      </c>
      <c r="G1194">
        <f t="shared" si="56"/>
        <v>2024</v>
      </c>
      <c r="H1194">
        <f t="shared" si="54"/>
        <v>1</v>
      </c>
    </row>
    <row r="1195" spans="1:8" x14ac:dyDescent="0.25">
      <c r="A1195" t="s">
        <v>2681</v>
      </c>
      <c r="B1195" s="1">
        <v>43965</v>
      </c>
      <c r="C1195" s="1">
        <v>44009</v>
      </c>
      <c r="D1195" s="1">
        <v>44139</v>
      </c>
      <c r="E1195">
        <v>12840.8</v>
      </c>
      <c r="F1195">
        <f t="shared" si="55"/>
        <v>2020</v>
      </c>
      <c r="G1195">
        <f t="shared" si="56"/>
        <v>2020</v>
      </c>
      <c r="H1195">
        <f t="shared" si="54"/>
        <v>0</v>
      </c>
    </row>
    <row r="1196" spans="1:8" x14ac:dyDescent="0.25">
      <c r="A1196" t="s">
        <v>2311</v>
      </c>
      <c r="B1196" s="1">
        <v>44775</v>
      </c>
      <c r="C1196" s="1">
        <v>44835</v>
      </c>
      <c r="D1196" s="1">
        <v>45414</v>
      </c>
      <c r="E1196">
        <v>79398.69</v>
      </c>
      <c r="F1196">
        <f t="shared" si="55"/>
        <v>2022</v>
      </c>
      <c r="G1196">
        <f t="shared" si="56"/>
        <v>2024</v>
      </c>
      <c r="H1196">
        <f t="shared" si="54"/>
        <v>2</v>
      </c>
    </row>
    <row r="1197" spans="1:8" x14ac:dyDescent="0.25">
      <c r="A1197" t="s">
        <v>2527</v>
      </c>
      <c r="B1197" s="1">
        <v>44970</v>
      </c>
      <c r="C1197" s="1">
        <v>44999</v>
      </c>
      <c r="D1197" s="1">
        <v>45137</v>
      </c>
      <c r="E1197">
        <v>33072.54</v>
      </c>
      <c r="F1197">
        <f t="shared" si="55"/>
        <v>2023</v>
      </c>
      <c r="G1197">
        <f t="shared" si="56"/>
        <v>2023</v>
      </c>
      <c r="H1197">
        <f t="shared" si="54"/>
        <v>0</v>
      </c>
    </row>
    <row r="1198" spans="1:8" x14ac:dyDescent="0.25">
      <c r="A1198" t="s">
        <v>2340</v>
      </c>
      <c r="B1198" s="1">
        <v>45136</v>
      </c>
      <c r="C1198" s="1">
        <v>45209</v>
      </c>
      <c r="D1198" s="1">
        <v>45550</v>
      </c>
      <c r="E1198">
        <v>68280.58</v>
      </c>
      <c r="F1198">
        <f t="shared" si="55"/>
        <v>2023</v>
      </c>
      <c r="G1198">
        <f t="shared" si="56"/>
        <v>2024</v>
      </c>
      <c r="H1198">
        <f t="shared" si="54"/>
        <v>1</v>
      </c>
    </row>
    <row r="1199" spans="1:8" x14ac:dyDescent="0.25">
      <c r="A1199" t="s">
        <v>2505</v>
      </c>
      <c r="B1199" s="1">
        <v>45007</v>
      </c>
      <c r="C1199" s="1">
        <v>45020</v>
      </c>
      <c r="D1199" s="1">
        <v>45344</v>
      </c>
      <c r="E1199">
        <v>69770.53</v>
      </c>
      <c r="F1199">
        <f t="shared" si="55"/>
        <v>2023</v>
      </c>
      <c r="G1199">
        <f t="shared" si="56"/>
        <v>2024</v>
      </c>
      <c r="H1199">
        <f t="shared" si="54"/>
        <v>1</v>
      </c>
    </row>
    <row r="1200" spans="1:8" x14ac:dyDescent="0.25">
      <c r="A1200" t="s">
        <v>2634</v>
      </c>
      <c r="B1200" s="1">
        <v>45387</v>
      </c>
      <c r="C1200" s="1">
        <v>45474</v>
      </c>
      <c r="D1200" s="1">
        <v>45361</v>
      </c>
      <c r="E1200">
        <v>35091.629999999997</v>
      </c>
      <c r="F1200">
        <f t="shared" si="55"/>
        <v>2024</v>
      </c>
      <c r="G1200">
        <f t="shared" si="56"/>
        <v>2024</v>
      </c>
      <c r="H1200">
        <f t="shared" si="54"/>
        <v>0</v>
      </c>
    </row>
    <row r="1201" spans="1:8" x14ac:dyDescent="0.25">
      <c r="A1201" t="s">
        <v>2782</v>
      </c>
      <c r="B1201" s="1">
        <v>43903</v>
      </c>
      <c r="C1201" s="1">
        <v>43921</v>
      </c>
      <c r="D1201" s="1">
        <v>44129</v>
      </c>
      <c r="E1201">
        <v>43031.59</v>
      </c>
      <c r="F1201">
        <f t="shared" si="55"/>
        <v>2020</v>
      </c>
      <c r="G1201">
        <f t="shared" si="56"/>
        <v>2020</v>
      </c>
      <c r="H1201">
        <f t="shared" si="54"/>
        <v>0</v>
      </c>
    </row>
    <row r="1202" spans="1:8" x14ac:dyDescent="0.25">
      <c r="A1202" t="s">
        <v>2711</v>
      </c>
      <c r="B1202" s="1">
        <v>45482</v>
      </c>
      <c r="C1202" s="1">
        <v>45496</v>
      </c>
      <c r="D1202" s="1">
        <v>45784</v>
      </c>
      <c r="E1202">
        <v>19365.849999999999</v>
      </c>
      <c r="F1202">
        <f t="shared" si="55"/>
        <v>2024</v>
      </c>
      <c r="G1202">
        <f t="shared" si="56"/>
        <v>2025</v>
      </c>
      <c r="H1202">
        <f t="shared" si="54"/>
        <v>1</v>
      </c>
    </row>
    <row r="1203" spans="1:8" x14ac:dyDescent="0.25">
      <c r="A1203" t="s">
        <v>2689</v>
      </c>
      <c r="B1203" s="1">
        <v>44448</v>
      </c>
      <c r="C1203" s="1">
        <v>44480</v>
      </c>
      <c r="D1203" s="1">
        <v>44519</v>
      </c>
      <c r="E1203">
        <v>56153.59</v>
      </c>
      <c r="F1203">
        <f t="shared" si="55"/>
        <v>2021</v>
      </c>
      <c r="G1203">
        <f t="shared" si="56"/>
        <v>2021</v>
      </c>
      <c r="H1203">
        <f t="shared" si="54"/>
        <v>0</v>
      </c>
    </row>
    <row r="1204" spans="1:8" x14ac:dyDescent="0.25">
      <c r="A1204" t="s">
        <v>2783</v>
      </c>
      <c r="B1204" s="1">
        <v>44674</v>
      </c>
      <c r="C1204" s="1">
        <v>44742</v>
      </c>
      <c r="D1204" s="1">
        <v>44912</v>
      </c>
      <c r="E1204">
        <v>28076.45</v>
      </c>
      <c r="F1204">
        <f t="shared" si="55"/>
        <v>2022</v>
      </c>
      <c r="G1204">
        <f t="shared" si="56"/>
        <v>2022</v>
      </c>
      <c r="H1204">
        <f t="shared" si="54"/>
        <v>0</v>
      </c>
    </row>
    <row r="1205" spans="1:8" x14ac:dyDescent="0.25">
      <c r="A1205" t="s">
        <v>2693</v>
      </c>
      <c r="B1205" s="1">
        <v>45340</v>
      </c>
      <c r="C1205" s="1">
        <v>45406</v>
      </c>
      <c r="D1205" s="1">
        <v>45493</v>
      </c>
      <c r="E1205">
        <v>6858.85</v>
      </c>
      <c r="F1205">
        <f t="shared" si="55"/>
        <v>2024</v>
      </c>
      <c r="G1205">
        <f t="shared" si="56"/>
        <v>2024</v>
      </c>
      <c r="H1205">
        <f t="shared" si="54"/>
        <v>0</v>
      </c>
    </row>
    <row r="1206" spans="1:8" x14ac:dyDescent="0.25">
      <c r="A1206" t="s">
        <v>2784</v>
      </c>
      <c r="B1206" s="1">
        <v>45140</v>
      </c>
      <c r="C1206" s="1">
        <v>45185</v>
      </c>
      <c r="D1206" s="1">
        <v>45745</v>
      </c>
      <c r="E1206">
        <v>39031.97</v>
      </c>
      <c r="F1206">
        <f t="shared" si="55"/>
        <v>2023</v>
      </c>
      <c r="G1206">
        <f t="shared" si="56"/>
        <v>2025</v>
      </c>
      <c r="H1206">
        <f t="shared" si="54"/>
        <v>2</v>
      </c>
    </row>
    <row r="1207" spans="1:8" x14ac:dyDescent="0.25">
      <c r="A1207" t="s">
        <v>2649</v>
      </c>
      <c r="B1207" s="1">
        <v>44624</v>
      </c>
      <c r="C1207" s="1">
        <v>44706</v>
      </c>
      <c r="D1207" s="1">
        <v>44747</v>
      </c>
      <c r="E1207">
        <v>83598.720000000001</v>
      </c>
      <c r="F1207">
        <f t="shared" si="55"/>
        <v>2022</v>
      </c>
      <c r="G1207">
        <f t="shared" si="56"/>
        <v>2022</v>
      </c>
      <c r="H1207">
        <f t="shared" si="54"/>
        <v>0</v>
      </c>
    </row>
    <row r="1208" spans="1:8" x14ac:dyDescent="0.25">
      <c r="A1208" t="s">
        <v>2674</v>
      </c>
      <c r="B1208" s="1">
        <v>44367</v>
      </c>
      <c r="C1208" s="1">
        <v>44435</v>
      </c>
      <c r="D1208" s="1">
        <v>44463</v>
      </c>
      <c r="E1208">
        <v>13408.81</v>
      </c>
      <c r="F1208">
        <f t="shared" si="55"/>
        <v>2021</v>
      </c>
      <c r="G1208">
        <f t="shared" si="56"/>
        <v>2021</v>
      </c>
      <c r="H1208">
        <f t="shared" si="54"/>
        <v>0</v>
      </c>
    </row>
    <row r="1209" spans="1:8" x14ac:dyDescent="0.25">
      <c r="A1209" t="s">
        <v>2313</v>
      </c>
      <c r="B1209" s="1">
        <v>44958</v>
      </c>
      <c r="C1209" s="1">
        <v>44974</v>
      </c>
      <c r="D1209" s="1">
        <v>45171</v>
      </c>
      <c r="E1209">
        <v>26055.34</v>
      </c>
      <c r="F1209">
        <f t="shared" si="55"/>
        <v>2023</v>
      </c>
      <c r="G1209">
        <f t="shared" si="56"/>
        <v>2023</v>
      </c>
      <c r="H1209">
        <f t="shared" si="54"/>
        <v>0</v>
      </c>
    </row>
    <row r="1210" spans="1:8" x14ac:dyDescent="0.25">
      <c r="A1210" t="s">
        <v>2785</v>
      </c>
      <c r="B1210" s="1">
        <v>45498</v>
      </c>
      <c r="C1210" s="1">
        <v>45570</v>
      </c>
      <c r="D1210" s="1">
        <v>45698</v>
      </c>
      <c r="E1210">
        <v>34145.08</v>
      </c>
      <c r="F1210">
        <f t="shared" si="55"/>
        <v>2024</v>
      </c>
      <c r="G1210">
        <f t="shared" si="56"/>
        <v>2025</v>
      </c>
      <c r="H1210">
        <f t="shared" si="54"/>
        <v>1</v>
      </c>
    </row>
    <row r="1211" spans="1:8" x14ac:dyDescent="0.25">
      <c r="A1211" t="s">
        <v>2756</v>
      </c>
      <c r="B1211" s="1">
        <v>44707</v>
      </c>
      <c r="C1211" s="1">
        <v>44771</v>
      </c>
      <c r="D1211" s="1">
        <v>44918</v>
      </c>
      <c r="E1211">
        <v>14410.42</v>
      </c>
      <c r="F1211">
        <f t="shared" si="55"/>
        <v>2022</v>
      </c>
      <c r="G1211">
        <f t="shared" si="56"/>
        <v>2022</v>
      </c>
      <c r="H1211">
        <f t="shared" si="54"/>
        <v>0</v>
      </c>
    </row>
    <row r="1212" spans="1:8" x14ac:dyDescent="0.25">
      <c r="A1212" t="s">
        <v>2786</v>
      </c>
      <c r="B1212" s="1">
        <v>44717</v>
      </c>
      <c r="C1212" s="1">
        <v>44778</v>
      </c>
      <c r="D1212" s="1">
        <v>44988</v>
      </c>
      <c r="E1212">
        <v>48898.81</v>
      </c>
      <c r="F1212">
        <f t="shared" si="55"/>
        <v>2022</v>
      </c>
      <c r="G1212">
        <f t="shared" si="56"/>
        <v>2023</v>
      </c>
      <c r="H1212">
        <f t="shared" si="54"/>
        <v>1</v>
      </c>
    </row>
    <row r="1213" spans="1:8" x14ac:dyDescent="0.25">
      <c r="A1213" t="s">
        <v>2486</v>
      </c>
      <c r="B1213" s="1">
        <v>44646</v>
      </c>
      <c r="D1213" s="1">
        <v>45132</v>
      </c>
      <c r="E1213">
        <v>47529.38</v>
      </c>
      <c r="F1213">
        <f t="shared" si="55"/>
        <v>2022</v>
      </c>
      <c r="G1213">
        <f t="shared" si="56"/>
        <v>2023</v>
      </c>
      <c r="H1213">
        <f t="shared" si="54"/>
        <v>1</v>
      </c>
    </row>
    <row r="1214" spans="1:8" x14ac:dyDescent="0.25">
      <c r="A1214" t="s">
        <v>2787</v>
      </c>
      <c r="B1214" s="1">
        <v>45548</v>
      </c>
      <c r="C1214" s="1">
        <v>45564</v>
      </c>
      <c r="D1214" s="1">
        <v>45721</v>
      </c>
      <c r="E1214">
        <v>56239.69</v>
      </c>
      <c r="F1214">
        <f t="shared" si="55"/>
        <v>2024</v>
      </c>
      <c r="G1214">
        <f t="shared" si="56"/>
        <v>2025</v>
      </c>
      <c r="H1214">
        <f t="shared" si="54"/>
        <v>1</v>
      </c>
    </row>
    <row r="1215" spans="1:8" x14ac:dyDescent="0.25">
      <c r="A1215" t="s">
        <v>2788</v>
      </c>
      <c r="B1215" s="1">
        <v>44865</v>
      </c>
      <c r="C1215" s="1">
        <v>44901</v>
      </c>
      <c r="D1215" s="1">
        <v>45038</v>
      </c>
      <c r="E1215">
        <v>19194.5</v>
      </c>
      <c r="F1215">
        <f t="shared" si="55"/>
        <v>2022</v>
      </c>
      <c r="G1215">
        <f t="shared" si="56"/>
        <v>2023</v>
      </c>
      <c r="H1215">
        <f t="shared" si="54"/>
        <v>1</v>
      </c>
    </row>
    <row r="1216" spans="1:8" x14ac:dyDescent="0.25">
      <c r="A1216" t="s">
        <v>2579</v>
      </c>
      <c r="B1216" s="1">
        <v>45244</v>
      </c>
      <c r="C1216" s="1">
        <v>45256</v>
      </c>
      <c r="D1216" s="1">
        <v>45419</v>
      </c>
      <c r="E1216">
        <v>67743.31</v>
      </c>
      <c r="F1216">
        <f t="shared" si="55"/>
        <v>2023</v>
      </c>
      <c r="G1216">
        <f t="shared" si="56"/>
        <v>2024</v>
      </c>
      <c r="H1216">
        <f t="shared" si="54"/>
        <v>1</v>
      </c>
    </row>
    <row r="1217" spans="1:8" x14ac:dyDescent="0.25">
      <c r="A1217" t="s">
        <v>2277</v>
      </c>
      <c r="B1217" s="1">
        <v>43881</v>
      </c>
      <c r="C1217" s="1">
        <v>43941</v>
      </c>
      <c r="D1217" s="1">
        <v>44163</v>
      </c>
      <c r="E1217">
        <v>-1461.56</v>
      </c>
      <c r="F1217">
        <f t="shared" si="55"/>
        <v>2020</v>
      </c>
      <c r="G1217">
        <f t="shared" si="56"/>
        <v>2020</v>
      </c>
      <c r="H1217">
        <f t="shared" si="54"/>
        <v>0</v>
      </c>
    </row>
    <row r="1218" spans="1:8" x14ac:dyDescent="0.25">
      <c r="A1218" t="s">
        <v>2557</v>
      </c>
      <c r="B1218" s="1">
        <v>44909</v>
      </c>
      <c r="C1218" s="1">
        <v>44958</v>
      </c>
      <c r="D1218" s="1">
        <v>45491</v>
      </c>
      <c r="E1218">
        <v>9657.83</v>
      </c>
      <c r="F1218">
        <f t="shared" si="55"/>
        <v>2022</v>
      </c>
      <c r="G1218">
        <f t="shared" si="56"/>
        <v>2024</v>
      </c>
      <c r="H1218">
        <f t="shared" ref="H1218:H1281" si="57">MAX(0,G1218-F1218)</f>
        <v>2</v>
      </c>
    </row>
    <row r="1219" spans="1:8" x14ac:dyDescent="0.25">
      <c r="A1219" t="s">
        <v>2303</v>
      </c>
      <c r="B1219" s="1">
        <v>44927</v>
      </c>
      <c r="C1219" s="1">
        <v>44966</v>
      </c>
      <c r="D1219" s="1">
        <v>45214</v>
      </c>
      <c r="E1219">
        <v>35400.46</v>
      </c>
      <c r="F1219">
        <f t="shared" ref="F1219:F1282" si="58">YEAR(B1219)</f>
        <v>2023</v>
      </c>
      <c r="G1219">
        <f t="shared" ref="G1219:G1282" si="59">YEAR(D1219)</f>
        <v>2023</v>
      </c>
      <c r="H1219">
        <f t="shared" si="57"/>
        <v>0</v>
      </c>
    </row>
    <row r="1220" spans="1:8" x14ac:dyDescent="0.25">
      <c r="A1220" t="s">
        <v>2497</v>
      </c>
      <c r="B1220" s="1">
        <v>43924</v>
      </c>
      <c r="C1220" s="1">
        <v>43979</v>
      </c>
      <c r="D1220" s="1">
        <v>44232</v>
      </c>
      <c r="E1220">
        <v>11660.2</v>
      </c>
      <c r="F1220">
        <f t="shared" si="58"/>
        <v>2020</v>
      </c>
      <c r="G1220">
        <f t="shared" si="59"/>
        <v>2021</v>
      </c>
      <c r="H1220">
        <f t="shared" si="57"/>
        <v>1</v>
      </c>
    </row>
    <row r="1221" spans="1:8" x14ac:dyDescent="0.25">
      <c r="A1221" t="s">
        <v>2491</v>
      </c>
      <c r="B1221" s="1">
        <v>45313</v>
      </c>
      <c r="C1221" s="1">
        <v>45335</v>
      </c>
      <c r="D1221" s="1">
        <v>45559</v>
      </c>
      <c r="E1221">
        <v>42814.11</v>
      </c>
      <c r="F1221">
        <f t="shared" si="58"/>
        <v>2024</v>
      </c>
      <c r="G1221">
        <f t="shared" si="59"/>
        <v>2024</v>
      </c>
      <c r="H1221">
        <f t="shared" si="57"/>
        <v>0</v>
      </c>
    </row>
    <row r="1222" spans="1:8" x14ac:dyDescent="0.25">
      <c r="A1222" t="s">
        <v>2481</v>
      </c>
      <c r="B1222" s="1">
        <v>43839</v>
      </c>
      <c r="C1222" s="1">
        <v>43850</v>
      </c>
      <c r="D1222" s="1">
        <v>44630</v>
      </c>
      <c r="E1222">
        <v>35568.370000000003</v>
      </c>
      <c r="F1222">
        <f t="shared" si="58"/>
        <v>2020</v>
      </c>
      <c r="G1222">
        <f t="shared" si="59"/>
        <v>2022</v>
      </c>
      <c r="H1222">
        <f t="shared" si="57"/>
        <v>2</v>
      </c>
    </row>
    <row r="1223" spans="1:8" x14ac:dyDescent="0.25">
      <c r="A1223" t="s">
        <v>2665</v>
      </c>
      <c r="B1223" s="1">
        <v>44606</v>
      </c>
      <c r="C1223" s="1">
        <v>44636</v>
      </c>
      <c r="D1223" s="1">
        <v>44873</v>
      </c>
      <c r="E1223">
        <v>-4883.49</v>
      </c>
      <c r="F1223">
        <f t="shared" si="58"/>
        <v>2022</v>
      </c>
      <c r="G1223">
        <f t="shared" si="59"/>
        <v>2022</v>
      </c>
      <c r="H1223">
        <f t="shared" si="57"/>
        <v>0</v>
      </c>
    </row>
    <row r="1224" spans="1:8" x14ac:dyDescent="0.25">
      <c r="A1224" t="s">
        <v>2481</v>
      </c>
      <c r="B1224" s="1">
        <v>43839</v>
      </c>
      <c r="C1224" s="1">
        <v>43850</v>
      </c>
      <c r="D1224" s="1">
        <v>44313</v>
      </c>
      <c r="E1224">
        <v>-18589.09</v>
      </c>
      <c r="F1224">
        <f t="shared" si="58"/>
        <v>2020</v>
      </c>
      <c r="G1224">
        <f t="shared" si="59"/>
        <v>2021</v>
      </c>
      <c r="H1224">
        <f t="shared" si="57"/>
        <v>1</v>
      </c>
    </row>
    <row r="1225" spans="1:8" x14ac:dyDescent="0.25">
      <c r="A1225" t="s">
        <v>2457</v>
      </c>
      <c r="B1225" s="1">
        <v>44210</v>
      </c>
      <c r="C1225" s="1">
        <v>44299</v>
      </c>
      <c r="D1225" s="1">
        <v>44413</v>
      </c>
      <c r="E1225">
        <v>23397.68</v>
      </c>
      <c r="F1225">
        <f t="shared" si="58"/>
        <v>2021</v>
      </c>
      <c r="G1225">
        <f t="shared" si="59"/>
        <v>2021</v>
      </c>
      <c r="H1225">
        <f t="shared" si="57"/>
        <v>0</v>
      </c>
    </row>
    <row r="1226" spans="1:8" x14ac:dyDescent="0.25">
      <c r="A1226" t="s">
        <v>2617</v>
      </c>
      <c r="B1226" s="1">
        <v>45311</v>
      </c>
      <c r="C1226" s="1">
        <v>45317</v>
      </c>
      <c r="D1226" s="1">
        <v>45705</v>
      </c>
      <c r="E1226">
        <v>-6908.01</v>
      </c>
      <c r="F1226">
        <f t="shared" si="58"/>
        <v>2024</v>
      </c>
      <c r="G1226">
        <f t="shared" si="59"/>
        <v>2025</v>
      </c>
      <c r="H1226">
        <f t="shared" si="57"/>
        <v>1</v>
      </c>
    </row>
    <row r="1227" spans="1:8" x14ac:dyDescent="0.25">
      <c r="A1227" t="s">
        <v>2205</v>
      </c>
      <c r="B1227" s="1">
        <v>44017</v>
      </c>
      <c r="C1227" s="1">
        <v>44058</v>
      </c>
      <c r="D1227" s="1">
        <v>44320</v>
      </c>
      <c r="E1227">
        <v>11096.24</v>
      </c>
      <c r="F1227">
        <f t="shared" si="58"/>
        <v>2020</v>
      </c>
      <c r="G1227">
        <f t="shared" si="59"/>
        <v>2021</v>
      </c>
      <c r="H1227">
        <f t="shared" si="57"/>
        <v>1</v>
      </c>
    </row>
    <row r="1228" spans="1:8" x14ac:dyDescent="0.25">
      <c r="A1228" t="s">
        <v>2362</v>
      </c>
      <c r="B1228" s="1">
        <v>44750</v>
      </c>
      <c r="C1228" s="1">
        <v>44791</v>
      </c>
      <c r="D1228" s="1">
        <v>44861</v>
      </c>
      <c r="E1228">
        <v>-10435.370000000001</v>
      </c>
      <c r="F1228">
        <f t="shared" si="58"/>
        <v>2022</v>
      </c>
      <c r="G1228">
        <f t="shared" si="59"/>
        <v>2022</v>
      </c>
      <c r="H1228">
        <f t="shared" si="57"/>
        <v>0</v>
      </c>
    </row>
    <row r="1229" spans="1:8" x14ac:dyDescent="0.25">
      <c r="A1229" t="s">
        <v>2770</v>
      </c>
      <c r="B1229" s="1">
        <v>45446</v>
      </c>
      <c r="C1229" s="1">
        <v>45493</v>
      </c>
      <c r="D1229" s="1">
        <v>45773</v>
      </c>
      <c r="E1229">
        <v>42567.22</v>
      </c>
      <c r="F1229">
        <f t="shared" si="58"/>
        <v>2024</v>
      </c>
      <c r="G1229">
        <f t="shared" si="59"/>
        <v>2025</v>
      </c>
      <c r="H1229">
        <f t="shared" si="57"/>
        <v>1</v>
      </c>
    </row>
    <row r="1230" spans="1:8" x14ac:dyDescent="0.25">
      <c r="A1230" t="s">
        <v>2780</v>
      </c>
      <c r="B1230" s="1">
        <v>44436</v>
      </c>
      <c r="C1230" s="1">
        <v>44443</v>
      </c>
      <c r="D1230" s="1">
        <v>44647</v>
      </c>
      <c r="E1230">
        <v>64547.02</v>
      </c>
      <c r="F1230">
        <f t="shared" si="58"/>
        <v>2021</v>
      </c>
      <c r="G1230">
        <f t="shared" si="59"/>
        <v>2022</v>
      </c>
      <c r="H1230">
        <f t="shared" si="57"/>
        <v>1</v>
      </c>
    </row>
    <row r="1231" spans="1:8" x14ac:dyDescent="0.25">
      <c r="A1231" t="s">
        <v>2480</v>
      </c>
      <c r="B1231" s="1">
        <v>44748</v>
      </c>
      <c r="C1231" s="1">
        <v>44752</v>
      </c>
      <c r="D1231" s="1">
        <v>44934</v>
      </c>
      <c r="E1231">
        <v>51150.95</v>
      </c>
      <c r="F1231">
        <f t="shared" si="58"/>
        <v>2022</v>
      </c>
      <c r="G1231">
        <f t="shared" si="59"/>
        <v>2023</v>
      </c>
      <c r="H1231">
        <f t="shared" si="57"/>
        <v>1</v>
      </c>
    </row>
    <row r="1232" spans="1:8" x14ac:dyDescent="0.25">
      <c r="A1232" t="s">
        <v>2789</v>
      </c>
      <c r="B1232" s="1">
        <v>44632</v>
      </c>
      <c r="C1232" s="1">
        <v>44650</v>
      </c>
      <c r="D1232" s="1">
        <v>44914</v>
      </c>
      <c r="E1232">
        <v>66288.02</v>
      </c>
      <c r="F1232">
        <f t="shared" si="58"/>
        <v>2022</v>
      </c>
      <c r="G1232">
        <f t="shared" si="59"/>
        <v>2022</v>
      </c>
      <c r="H1232">
        <f t="shared" si="57"/>
        <v>0</v>
      </c>
    </row>
    <row r="1233" spans="1:8" x14ac:dyDescent="0.25">
      <c r="A1233" t="s">
        <v>2376</v>
      </c>
      <c r="B1233" s="1">
        <v>45083</v>
      </c>
      <c r="C1233" s="1">
        <v>45091</v>
      </c>
      <c r="D1233" s="1">
        <v>45305</v>
      </c>
      <c r="E1233">
        <v>-20640.439999999999</v>
      </c>
      <c r="F1233">
        <f t="shared" si="58"/>
        <v>2023</v>
      </c>
      <c r="G1233">
        <f t="shared" si="59"/>
        <v>2024</v>
      </c>
      <c r="H1233">
        <f t="shared" si="57"/>
        <v>1</v>
      </c>
    </row>
    <row r="1234" spans="1:8" x14ac:dyDescent="0.25">
      <c r="A1234" t="s">
        <v>2790</v>
      </c>
      <c r="B1234" s="1">
        <v>45597</v>
      </c>
      <c r="C1234" s="1">
        <v>45678</v>
      </c>
      <c r="D1234" s="1">
        <v>45769</v>
      </c>
      <c r="E1234">
        <v>-5017.0600000000004</v>
      </c>
      <c r="F1234">
        <f t="shared" si="58"/>
        <v>2024</v>
      </c>
      <c r="G1234">
        <f t="shared" si="59"/>
        <v>2025</v>
      </c>
      <c r="H1234">
        <f t="shared" si="57"/>
        <v>1</v>
      </c>
    </row>
    <row r="1235" spans="1:8" x14ac:dyDescent="0.25">
      <c r="A1235" t="s">
        <v>2222</v>
      </c>
      <c r="B1235" s="1">
        <v>43941</v>
      </c>
      <c r="C1235" s="1">
        <v>43942</v>
      </c>
      <c r="D1235" s="1">
        <v>44132</v>
      </c>
      <c r="E1235">
        <v>-24292.92</v>
      </c>
      <c r="F1235">
        <f t="shared" si="58"/>
        <v>2020</v>
      </c>
      <c r="G1235">
        <f t="shared" si="59"/>
        <v>2020</v>
      </c>
      <c r="H1235">
        <f t="shared" si="57"/>
        <v>0</v>
      </c>
    </row>
    <row r="1236" spans="1:8" x14ac:dyDescent="0.25">
      <c r="A1236" t="s">
        <v>2791</v>
      </c>
      <c r="B1236" s="1">
        <v>44714</v>
      </c>
      <c r="C1236" s="1">
        <v>44773</v>
      </c>
      <c r="D1236" s="1">
        <v>44858</v>
      </c>
      <c r="E1236">
        <v>47648.07</v>
      </c>
      <c r="F1236">
        <f t="shared" si="58"/>
        <v>2022</v>
      </c>
      <c r="G1236">
        <f t="shared" si="59"/>
        <v>2022</v>
      </c>
      <c r="H1236">
        <f t="shared" si="57"/>
        <v>0</v>
      </c>
    </row>
    <row r="1237" spans="1:8" x14ac:dyDescent="0.25">
      <c r="A1237" t="s">
        <v>2463</v>
      </c>
      <c r="B1237" s="1">
        <v>44385</v>
      </c>
      <c r="C1237" s="1">
        <v>44419</v>
      </c>
      <c r="D1237" s="1">
        <v>44496</v>
      </c>
      <c r="E1237">
        <v>22098.92</v>
      </c>
      <c r="F1237">
        <f t="shared" si="58"/>
        <v>2021</v>
      </c>
      <c r="G1237">
        <f t="shared" si="59"/>
        <v>2021</v>
      </c>
      <c r="H1237">
        <f t="shared" si="57"/>
        <v>0</v>
      </c>
    </row>
    <row r="1238" spans="1:8" x14ac:dyDescent="0.25">
      <c r="A1238" t="s">
        <v>2271</v>
      </c>
      <c r="B1238" s="1">
        <v>44715</v>
      </c>
      <c r="C1238" s="1">
        <v>44801</v>
      </c>
      <c r="D1238" s="1">
        <v>45109</v>
      </c>
      <c r="E1238">
        <v>79352.61</v>
      </c>
      <c r="F1238">
        <f t="shared" si="58"/>
        <v>2022</v>
      </c>
      <c r="G1238">
        <f t="shared" si="59"/>
        <v>2023</v>
      </c>
      <c r="H1238">
        <f t="shared" si="57"/>
        <v>1</v>
      </c>
    </row>
    <row r="1239" spans="1:8" x14ac:dyDescent="0.25">
      <c r="A1239" t="s">
        <v>2504</v>
      </c>
      <c r="B1239" s="1">
        <v>44648</v>
      </c>
      <c r="D1239" s="1">
        <v>44883</v>
      </c>
      <c r="E1239">
        <v>18029.02</v>
      </c>
      <c r="F1239">
        <f t="shared" si="58"/>
        <v>2022</v>
      </c>
      <c r="G1239">
        <f t="shared" si="59"/>
        <v>2022</v>
      </c>
      <c r="H1239">
        <f t="shared" si="57"/>
        <v>0</v>
      </c>
    </row>
    <row r="1240" spans="1:8" x14ac:dyDescent="0.25">
      <c r="A1240" t="s">
        <v>2667</v>
      </c>
      <c r="B1240" s="1">
        <v>44126</v>
      </c>
      <c r="C1240" s="1">
        <v>44170</v>
      </c>
      <c r="D1240" s="1">
        <v>44288</v>
      </c>
      <c r="E1240">
        <v>28215.64</v>
      </c>
      <c r="F1240">
        <f t="shared" si="58"/>
        <v>2020</v>
      </c>
      <c r="G1240">
        <f t="shared" si="59"/>
        <v>2021</v>
      </c>
      <c r="H1240">
        <f t="shared" si="57"/>
        <v>1</v>
      </c>
    </row>
    <row r="1241" spans="1:8" x14ac:dyDescent="0.25">
      <c r="A1241" t="s">
        <v>2493</v>
      </c>
      <c r="B1241" s="1">
        <v>44449</v>
      </c>
      <c r="C1241" s="1">
        <v>44530</v>
      </c>
      <c r="D1241" s="1">
        <v>44632</v>
      </c>
      <c r="E1241">
        <v>29795.8</v>
      </c>
      <c r="F1241">
        <f t="shared" si="58"/>
        <v>2021</v>
      </c>
      <c r="G1241">
        <f t="shared" si="59"/>
        <v>2022</v>
      </c>
      <c r="H1241">
        <f t="shared" si="57"/>
        <v>1</v>
      </c>
    </row>
    <row r="1242" spans="1:8" x14ac:dyDescent="0.25">
      <c r="A1242" t="s">
        <v>2792</v>
      </c>
      <c r="B1242" s="1">
        <v>45444</v>
      </c>
      <c r="C1242" s="1">
        <v>45478</v>
      </c>
      <c r="D1242" s="1">
        <v>45541</v>
      </c>
      <c r="E1242">
        <v>21370.36</v>
      </c>
      <c r="F1242">
        <f t="shared" si="58"/>
        <v>2024</v>
      </c>
      <c r="G1242">
        <f t="shared" si="59"/>
        <v>2024</v>
      </c>
      <c r="H1242">
        <f t="shared" si="57"/>
        <v>0</v>
      </c>
    </row>
    <row r="1243" spans="1:8" x14ac:dyDescent="0.25">
      <c r="A1243" t="s">
        <v>2620</v>
      </c>
      <c r="B1243" s="1">
        <v>45297</v>
      </c>
      <c r="C1243" s="1">
        <v>45383</v>
      </c>
      <c r="D1243" s="1">
        <v>45444</v>
      </c>
      <c r="E1243">
        <v>6813.99</v>
      </c>
      <c r="F1243">
        <f t="shared" si="58"/>
        <v>2024</v>
      </c>
      <c r="G1243">
        <f t="shared" si="59"/>
        <v>2024</v>
      </c>
      <c r="H1243">
        <f t="shared" si="57"/>
        <v>0</v>
      </c>
    </row>
    <row r="1244" spans="1:8" x14ac:dyDescent="0.25">
      <c r="A1244" t="s">
        <v>2624</v>
      </c>
      <c r="B1244" s="1">
        <v>45506</v>
      </c>
      <c r="C1244" s="1">
        <v>45509</v>
      </c>
      <c r="D1244" s="1">
        <v>45774</v>
      </c>
      <c r="E1244">
        <v>16586.38</v>
      </c>
      <c r="F1244">
        <f t="shared" si="58"/>
        <v>2024</v>
      </c>
      <c r="G1244">
        <f t="shared" si="59"/>
        <v>2025</v>
      </c>
      <c r="H1244">
        <f t="shared" si="57"/>
        <v>1</v>
      </c>
    </row>
    <row r="1245" spans="1:8" x14ac:dyDescent="0.25">
      <c r="A1245" t="s">
        <v>2639</v>
      </c>
      <c r="B1245" s="1">
        <v>44409</v>
      </c>
      <c r="C1245" s="1">
        <v>44425</v>
      </c>
      <c r="D1245" s="1">
        <v>44606</v>
      </c>
      <c r="E1245">
        <v>75537.36</v>
      </c>
      <c r="F1245">
        <f t="shared" si="58"/>
        <v>2021</v>
      </c>
      <c r="G1245">
        <f t="shared" si="59"/>
        <v>2022</v>
      </c>
      <c r="H1245">
        <f t="shared" si="57"/>
        <v>1</v>
      </c>
    </row>
    <row r="1246" spans="1:8" x14ac:dyDescent="0.25">
      <c r="A1246" t="s">
        <v>2407</v>
      </c>
      <c r="B1246" s="1">
        <v>45485</v>
      </c>
      <c r="C1246" s="1">
        <v>45556</v>
      </c>
      <c r="D1246" s="1">
        <v>45754</v>
      </c>
      <c r="E1246">
        <v>42795.29</v>
      </c>
      <c r="F1246">
        <f t="shared" si="58"/>
        <v>2024</v>
      </c>
      <c r="G1246">
        <f t="shared" si="59"/>
        <v>2025</v>
      </c>
      <c r="H1246">
        <f t="shared" si="57"/>
        <v>1</v>
      </c>
    </row>
    <row r="1247" spans="1:8" x14ac:dyDescent="0.25">
      <c r="A1247" t="s">
        <v>2528</v>
      </c>
      <c r="B1247" s="1">
        <v>44741</v>
      </c>
      <c r="C1247" s="1">
        <v>44774</v>
      </c>
      <c r="D1247" s="1">
        <v>44833</v>
      </c>
      <c r="E1247">
        <v>2628.28</v>
      </c>
      <c r="F1247">
        <f t="shared" si="58"/>
        <v>2022</v>
      </c>
      <c r="G1247">
        <f t="shared" si="59"/>
        <v>2022</v>
      </c>
      <c r="H1247">
        <f t="shared" si="57"/>
        <v>0</v>
      </c>
    </row>
    <row r="1248" spans="1:8" x14ac:dyDescent="0.25">
      <c r="A1248" t="s">
        <v>2793</v>
      </c>
      <c r="B1248" s="1">
        <v>44104</v>
      </c>
      <c r="C1248" s="1">
        <v>44153</v>
      </c>
      <c r="D1248" s="1">
        <v>44445</v>
      </c>
      <c r="E1248">
        <v>3780.55</v>
      </c>
      <c r="F1248">
        <f t="shared" si="58"/>
        <v>2020</v>
      </c>
      <c r="G1248">
        <f t="shared" si="59"/>
        <v>2021</v>
      </c>
      <c r="H1248">
        <f t="shared" si="57"/>
        <v>1</v>
      </c>
    </row>
    <row r="1249" spans="1:8" x14ac:dyDescent="0.25">
      <c r="A1249" t="s">
        <v>2754</v>
      </c>
      <c r="B1249" s="1">
        <v>45070</v>
      </c>
      <c r="C1249" s="1">
        <v>45133</v>
      </c>
      <c r="D1249" s="1">
        <v>45201</v>
      </c>
      <c r="E1249">
        <v>-3215.93</v>
      </c>
      <c r="F1249">
        <f t="shared" si="58"/>
        <v>2023</v>
      </c>
      <c r="G1249">
        <f t="shared" si="59"/>
        <v>2023</v>
      </c>
      <c r="H1249">
        <f t="shared" si="57"/>
        <v>0</v>
      </c>
    </row>
    <row r="1250" spans="1:8" x14ac:dyDescent="0.25">
      <c r="A1250" t="s">
        <v>2794</v>
      </c>
      <c r="B1250" s="1">
        <v>44623</v>
      </c>
      <c r="C1250" s="1">
        <v>44688</v>
      </c>
      <c r="D1250" s="1">
        <v>45014</v>
      </c>
      <c r="E1250">
        <v>10044.219999999999</v>
      </c>
      <c r="F1250">
        <f t="shared" si="58"/>
        <v>2022</v>
      </c>
      <c r="G1250">
        <f t="shared" si="59"/>
        <v>2023</v>
      </c>
      <c r="H1250">
        <f t="shared" si="57"/>
        <v>1</v>
      </c>
    </row>
    <row r="1251" spans="1:8" x14ac:dyDescent="0.25">
      <c r="A1251" t="s">
        <v>2657</v>
      </c>
      <c r="B1251" s="1">
        <v>44084</v>
      </c>
      <c r="C1251" s="1">
        <v>44156</v>
      </c>
      <c r="D1251" s="1">
        <v>44415</v>
      </c>
      <c r="E1251">
        <v>52357.58</v>
      </c>
      <c r="F1251">
        <f t="shared" si="58"/>
        <v>2020</v>
      </c>
      <c r="G1251">
        <f t="shared" si="59"/>
        <v>2021</v>
      </c>
      <c r="H1251">
        <f t="shared" si="57"/>
        <v>1</v>
      </c>
    </row>
    <row r="1252" spans="1:8" x14ac:dyDescent="0.25">
      <c r="A1252" t="s">
        <v>2293</v>
      </c>
      <c r="B1252" s="1">
        <v>45567</v>
      </c>
      <c r="C1252" s="1">
        <v>45612</v>
      </c>
      <c r="D1252" s="1">
        <v>45795</v>
      </c>
      <c r="E1252">
        <v>-12481.08</v>
      </c>
      <c r="F1252">
        <f t="shared" si="58"/>
        <v>2024</v>
      </c>
      <c r="G1252">
        <f t="shared" si="59"/>
        <v>2025</v>
      </c>
      <c r="H1252">
        <f t="shared" si="57"/>
        <v>1</v>
      </c>
    </row>
    <row r="1253" spans="1:8" x14ac:dyDescent="0.25">
      <c r="A1253" t="s">
        <v>2795</v>
      </c>
      <c r="B1253" s="1">
        <v>45579</v>
      </c>
      <c r="C1253" s="1">
        <v>45587</v>
      </c>
      <c r="D1253" s="1">
        <v>45782</v>
      </c>
      <c r="E1253">
        <v>9819.07</v>
      </c>
      <c r="F1253">
        <f t="shared" si="58"/>
        <v>2024</v>
      </c>
      <c r="G1253">
        <f t="shared" si="59"/>
        <v>2025</v>
      </c>
      <c r="H1253">
        <f t="shared" si="57"/>
        <v>1</v>
      </c>
    </row>
    <row r="1254" spans="1:8" x14ac:dyDescent="0.25">
      <c r="A1254" t="s">
        <v>2657</v>
      </c>
      <c r="B1254" s="1">
        <v>44084</v>
      </c>
      <c r="C1254" s="1">
        <v>44156</v>
      </c>
      <c r="D1254" s="1">
        <v>44618</v>
      </c>
      <c r="E1254">
        <v>10043.77</v>
      </c>
      <c r="F1254">
        <f t="shared" si="58"/>
        <v>2020</v>
      </c>
      <c r="G1254">
        <f t="shared" si="59"/>
        <v>2022</v>
      </c>
      <c r="H1254">
        <f t="shared" si="57"/>
        <v>2</v>
      </c>
    </row>
    <row r="1255" spans="1:8" x14ac:dyDescent="0.25">
      <c r="A1255" t="s">
        <v>2658</v>
      </c>
      <c r="B1255" s="1">
        <v>45073</v>
      </c>
      <c r="C1255" s="1">
        <v>45085</v>
      </c>
      <c r="D1255" s="1">
        <v>45542</v>
      </c>
      <c r="E1255">
        <v>6543.79</v>
      </c>
      <c r="F1255">
        <f t="shared" si="58"/>
        <v>2023</v>
      </c>
      <c r="G1255">
        <f t="shared" si="59"/>
        <v>2024</v>
      </c>
      <c r="H1255">
        <f t="shared" si="57"/>
        <v>1</v>
      </c>
    </row>
    <row r="1256" spans="1:8" x14ac:dyDescent="0.25">
      <c r="A1256" t="s">
        <v>2712</v>
      </c>
      <c r="B1256" s="1">
        <v>44894</v>
      </c>
      <c r="C1256" s="1">
        <v>44930</v>
      </c>
      <c r="D1256" s="1">
        <v>45286</v>
      </c>
      <c r="E1256">
        <v>37770.620000000003</v>
      </c>
      <c r="F1256">
        <f t="shared" si="58"/>
        <v>2022</v>
      </c>
      <c r="G1256">
        <f t="shared" si="59"/>
        <v>2023</v>
      </c>
      <c r="H1256">
        <f t="shared" si="57"/>
        <v>1</v>
      </c>
    </row>
    <row r="1257" spans="1:8" x14ac:dyDescent="0.25">
      <c r="A1257" t="s">
        <v>2153</v>
      </c>
      <c r="B1257" s="1">
        <v>44444</v>
      </c>
      <c r="C1257" s="1">
        <v>44449</v>
      </c>
      <c r="D1257" s="1">
        <v>44675</v>
      </c>
      <c r="E1257">
        <v>-5047.7</v>
      </c>
      <c r="F1257">
        <f t="shared" si="58"/>
        <v>2021</v>
      </c>
      <c r="G1257">
        <f t="shared" si="59"/>
        <v>2022</v>
      </c>
      <c r="H1257">
        <f t="shared" si="57"/>
        <v>1</v>
      </c>
    </row>
    <row r="1258" spans="1:8" x14ac:dyDescent="0.25">
      <c r="A1258" t="s">
        <v>2178</v>
      </c>
      <c r="B1258" s="1">
        <v>44836</v>
      </c>
      <c r="C1258" s="1">
        <v>44858</v>
      </c>
      <c r="D1258" s="1">
        <v>45038</v>
      </c>
      <c r="E1258">
        <v>51484.53</v>
      </c>
      <c r="F1258">
        <f t="shared" si="58"/>
        <v>2022</v>
      </c>
      <c r="G1258">
        <f t="shared" si="59"/>
        <v>2023</v>
      </c>
      <c r="H1258">
        <f t="shared" si="57"/>
        <v>1</v>
      </c>
    </row>
    <row r="1259" spans="1:8" x14ac:dyDescent="0.25">
      <c r="A1259" t="s">
        <v>2796</v>
      </c>
      <c r="B1259" s="1">
        <v>45163</v>
      </c>
      <c r="C1259" s="1">
        <v>45206</v>
      </c>
      <c r="D1259" s="1">
        <v>45260</v>
      </c>
      <c r="E1259">
        <v>-9418.94</v>
      </c>
      <c r="F1259">
        <f t="shared" si="58"/>
        <v>2023</v>
      </c>
      <c r="G1259">
        <f t="shared" si="59"/>
        <v>2023</v>
      </c>
      <c r="H1259">
        <f t="shared" si="57"/>
        <v>0</v>
      </c>
    </row>
    <row r="1260" spans="1:8" x14ac:dyDescent="0.25">
      <c r="A1260" t="s">
        <v>2259</v>
      </c>
      <c r="B1260" s="1">
        <v>45320</v>
      </c>
      <c r="C1260" s="1">
        <v>45349</v>
      </c>
      <c r="D1260" s="1">
        <v>45673</v>
      </c>
      <c r="E1260">
        <v>29088.880000000001</v>
      </c>
      <c r="F1260">
        <f t="shared" si="58"/>
        <v>2024</v>
      </c>
      <c r="G1260">
        <f t="shared" si="59"/>
        <v>2025</v>
      </c>
      <c r="H1260">
        <f t="shared" si="57"/>
        <v>1</v>
      </c>
    </row>
    <row r="1261" spans="1:8" x14ac:dyDescent="0.25">
      <c r="A1261" t="s">
        <v>2797</v>
      </c>
      <c r="B1261" s="1">
        <v>44606</v>
      </c>
      <c r="C1261" s="1">
        <v>44644</v>
      </c>
      <c r="D1261" s="1">
        <v>44926</v>
      </c>
      <c r="E1261">
        <v>18211.810000000001</v>
      </c>
      <c r="F1261">
        <f t="shared" si="58"/>
        <v>2022</v>
      </c>
      <c r="G1261">
        <f t="shared" si="59"/>
        <v>2022</v>
      </c>
      <c r="H1261">
        <f t="shared" si="57"/>
        <v>0</v>
      </c>
    </row>
    <row r="1262" spans="1:8" x14ac:dyDescent="0.25">
      <c r="A1262" t="s">
        <v>2793</v>
      </c>
      <c r="B1262" s="1">
        <v>44104</v>
      </c>
      <c r="C1262" s="1">
        <v>44153</v>
      </c>
      <c r="D1262" s="1">
        <v>44514</v>
      </c>
      <c r="E1262">
        <v>-2393.02</v>
      </c>
      <c r="F1262">
        <f t="shared" si="58"/>
        <v>2020</v>
      </c>
      <c r="G1262">
        <f t="shared" si="59"/>
        <v>2021</v>
      </c>
      <c r="H1262">
        <f t="shared" si="57"/>
        <v>1</v>
      </c>
    </row>
    <row r="1263" spans="1:8" x14ac:dyDescent="0.25">
      <c r="A1263" t="s">
        <v>2777</v>
      </c>
      <c r="B1263" s="1">
        <v>44954</v>
      </c>
      <c r="C1263" s="1">
        <v>44996</v>
      </c>
      <c r="D1263" s="1">
        <v>45137</v>
      </c>
      <c r="E1263">
        <v>79043.149999999994</v>
      </c>
      <c r="F1263">
        <f t="shared" si="58"/>
        <v>2023</v>
      </c>
      <c r="G1263">
        <f t="shared" si="59"/>
        <v>2023</v>
      </c>
      <c r="H1263">
        <f t="shared" si="57"/>
        <v>0</v>
      </c>
    </row>
    <row r="1264" spans="1:8" x14ac:dyDescent="0.25">
      <c r="A1264" t="s">
        <v>2599</v>
      </c>
      <c r="B1264" s="1">
        <v>44310</v>
      </c>
      <c r="C1264" s="1">
        <v>44327</v>
      </c>
      <c r="D1264" s="1">
        <v>44696</v>
      </c>
      <c r="E1264">
        <v>16760.59</v>
      </c>
      <c r="F1264">
        <f t="shared" si="58"/>
        <v>2021</v>
      </c>
      <c r="G1264">
        <f t="shared" si="59"/>
        <v>2022</v>
      </c>
      <c r="H1264">
        <f t="shared" si="57"/>
        <v>1</v>
      </c>
    </row>
    <row r="1265" spans="1:8" x14ac:dyDescent="0.25">
      <c r="A1265" t="s">
        <v>2737</v>
      </c>
      <c r="B1265" s="1">
        <v>45232</v>
      </c>
      <c r="C1265" s="1">
        <v>45279</v>
      </c>
      <c r="D1265" s="1">
        <v>45719</v>
      </c>
      <c r="E1265">
        <v>19330.59</v>
      </c>
      <c r="F1265">
        <f t="shared" si="58"/>
        <v>2023</v>
      </c>
      <c r="G1265">
        <f t="shared" si="59"/>
        <v>2025</v>
      </c>
      <c r="H1265">
        <f t="shared" si="57"/>
        <v>2</v>
      </c>
    </row>
    <row r="1266" spans="1:8" x14ac:dyDescent="0.25">
      <c r="A1266" t="s">
        <v>2798</v>
      </c>
      <c r="B1266" s="1">
        <v>45521</v>
      </c>
      <c r="C1266" s="1">
        <v>45567</v>
      </c>
      <c r="D1266" s="1">
        <v>45757</v>
      </c>
      <c r="E1266">
        <v>-1950.73</v>
      </c>
      <c r="F1266">
        <f t="shared" si="58"/>
        <v>2024</v>
      </c>
      <c r="G1266">
        <f t="shared" si="59"/>
        <v>2025</v>
      </c>
      <c r="H1266">
        <f t="shared" si="57"/>
        <v>1</v>
      </c>
    </row>
    <row r="1267" spans="1:8" x14ac:dyDescent="0.25">
      <c r="A1267" t="s">
        <v>2674</v>
      </c>
      <c r="B1267" s="1">
        <v>44367</v>
      </c>
      <c r="C1267" s="1">
        <v>44435</v>
      </c>
      <c r="D1267" s="1">
        <v>44632</v>
      </c>
      <c r="E1267">
        <v>2910.27</v>
      </c>
      <c r="F1267">
        <f t="shared" si="58"/>
        <v>2021</v>
      </c>
      <c r="G1267">
        <f t="shared" si="59"/>
        <v>2022</v>
      </c>
      <c r="H1267">
        <f t="shared" si="57"/>
        <v>1</v>
      </c>
    </row>
    <row r="1268" spans="1:8" x14ac:dyDescent="0.25">
      <c r="A1268" t="s">
        <v>2799</v>
      </c>
      <c r="B1268" s="1">
        <v>44708</v>
      </c>
      <c r="D1268" s="1">
        <v>45190</v>
      </c>
      <c r="E1268">
        <v>72576.25</v>
      </c>
      <c r="F1268">
        <f t="shared" si="58"/>
        <v>2022</v>
      </c>
      <c r="G1268">
        <f t="shared" si="59"/>
        <v>2023</v>
      </c>
      <c r="H1268">
        <f t="shared" si="57"/>
        <v>1</v>
      </c>
    </row>
    <row r="1269" spans="1:8" x14ac:dyDescent="0.25">
      <c r="A1269" t="s">
        <v>2245</v>
      </c>
      <c r="B1269" s="1">
        <v>44506</v>
      </c>
      <c r="C1269" s="1">
        <v>44519</v>
      </c>
      <c r="D1269" s="1">
        <v>44752</v>
      </c>
      <c r="E1269">
        <v>54702.04</v>
      </c>
      <c r="F1269">
        <f t="shared" si="58"/>
        <v>2021</v>
      </c>
      <c r="G1269">
        <f t="shared" si="59"/>
        <v>2022</v>
      </c>
      <c r="H1269">
        <f t="shared" si="57"/>
        <v>1</v>
      </c>
    </row>
    <row r="1270" spans="1:8" x14ac:dyDescent="0.25">
      <c r="A1270" t="s">
        <v>2148</v>
      </c>
      <c r="B1270" s="1">
        <v>44276</v>
      </c>
      <c r="C1270" s="1">
        <v>44286</v>
      </c>
      <c r="D1270" s="1">
        <v>44351</v>
      </c>
      <c r="E1270">
        <v>77426.78</v>
      </c>
      <c r="F1270">
        <f t="shared" si="58"/>
        <v>2021</v>
      </c>
      <c r="G1270">
        <f t="shared" si="59"/>
        <v>2021</v>
      </c>
      <c r="H1270">
        <f t="shared" si="57"/>
        <v>0</v>
      </c>
    </row>
    <row r="1271" spans="1:8" x14ac:dyDescent="0.25">
      <c r="A1271" t="s">
        <v>2673</v>
      </c>
      <c r="B1271" s="1">
        <v>44695</v>
      </c>
      <c r="C1271" s="1">
        <v>44734</v>
      </c>
      <c r="D1271" s="1">
        <v>44880</v>
      </c>
      <c r="E1271">
        <v>14981.7</v>
      </c>
      <c r="F1271">
        <f t="shared" si="58"/>
        <v>2022</v>
      </c>
      <c r="G1271">
        <f t="shared" si="59"/>
        <v>2022</v>
      </c>
      <c r="H1271">
        <f t="shared" si="57"/>
        <v>0</v>
      </c>
    </row>
    <row r="1272" spans="1:8" x14ac:dyDescent="0.25">
      <c r="A1272" t="s">
        <v>2452</v>
      </c>
      <c r="B1272" s="1">
        <v>44714</v>
      </c>
      <c r="C1272" s="1">
        <v>44759</v>
      </c>
      <c r="D1272" s="1">
        <v>44978</v>
      </c>
      <c r="E1272">
        <v>13023.19</v>
      </c>
      <c r="F1272">
        <f t="shared" si="58"/>
        <v>2022</v>
      </c>
      <c r="G1272">
        <f t="shared" si="59"/>
        <v>2023</v>
      </c>
      <c r="H1272">
        <f t="shared" si="57"/>
        <v>1</v>
      </c>
    </row>
    <row r="1273" spans="1:8" x14ac:dyDescent="0.25">
      <c r="A1273" t="s">
        <v>2800</v>
      </c>
      <c r="B1273" s="1">
        <v>45568</v>
      </c>
      <c r="C1273" s="1">
        <v>45609</v>
      </c>
      <c r="D1273" s="1">
        <v>45646</v>
      </c>
      <c r="E1273">
        <v>-15531.6</v>
      </c>
      <c r="F1273">
        <f t="shared" si="58"/>
        <v>2024</v>
      </c>
      <c r="G1273">
        <f t="shared" si="59"/>
        <v>2024</v>
      </c>
      <c r="H1273">
        <f t="shared" si="57"/>
        <v>0</v>
      </c>
    </row>
    <row r="1274" spans="1:8" x14ac:dyDescent="0.25">
      <c r="A1274" t="s">
        <v>2184</v>
      </c>
      <c r="B1274" s="1">
        <v>43910</v>
      </c>
      <c r="C1274" s="1">
        <v>43943</v>
      </c>
      <c r="D1274" s="1">
        <v>44416</v>
      </c>
      <c r="E1274">
        <v>-18253.52</v>
      </c>
      <c r="F1274">
        <f t="shared" si="58"/>
        <v>2020</v>
      </c>
      <c r="G1274">
        <f t="shared" si="59"/>
        <v>2021</v>
      </c>
      <c r="H1274">
        <f t="shared" si="57"/>
        <v>1</v>
      </c>
    </row>
    <row r="1275" spans="1:8" x14ac:dyDescent="0.25">
      <c r="A1275" t="s">
        <v>2801</v>
      </c>
      <c r="B1275" s="1">
        <v>44671</v>
      </c>
      <c r="C1275" s="1">
        <v>44736</v>
      </c>
      <c r="D1275" s="1">
        <v>44839</v>
      </c>
      <c r="E1275">
        <v>22397.439999999999</v>
      </c>
      <c r="F1275">
        <f t="shared" si="58"/>
        <v>2022</v>
      </c>
      <c r="G1275">
        <f t="shared" si="59"/>
        <v>2022</v>
      </c>
      <c r="H1275">
        <f t="shared" si="57"/>
        <v>0</v>
      </c>
    </row>
    <row r="1276" spans="1:8" x14ac:dyDescent="0.25">
      <c r="A1276" t="s">
        <v>2315</v>
      </c>
      <c r="B1276" s="1">
        <v>44382</v>
      </c>
      <c r="C1276" s="1">
        <v>44393</v>
      </c>
      <c r="D1276" s="1">
        <v>44538</v>
      </c>
      <c r="E1276">
        <v>-2516.96</v>
      </c>
      <c r="F1276">
        <f t="shared" si="58"/>
        <v>2021</v>
      </c>
      <c r="G1276">
        <f t="shared" si="59"/>
        <v>2021</v>
      </c>
      <c r="H1276">
        <f t="shared" si="57"/>
        <v>0</v>
      </c>
    </row>
    <row r="1277" spans="1:8" x14ac:dyDescent="0.25">
      <c r="A1277" t="s">
        <v>2754</v>
      </c>
      <c r="B1277" s="1">
        <v>45070</v>
      </c>
      <c r="C1277" s="1">
        <v>45133</v>
      </c>
      <c r="D1277" s="1">
        <v>45360</v>
      </c>
      <c r="E1277">
        <v>66713.64</v>
      </c>
      <c r="F1277">
        <f t="shared" si="58"/>
        <v>2023</v>
      </c>
      <c r="G1277">
        <f t="shared" si="59"/>
        <v>2024</v>
      </c>
      <c r="H1277">
        <f t="shared" si="57"/>
        <v>1</v>
      </c>
    </row>
    <row r="1278" spans="1:8" x14ac:dyDescent="0.25">
      <c r="A1278" t="s">
        <v>2709</v>
      </c>
      <c r="B1278" s="1">
        <v>44035</v>
      </c>
      <c r="C1278" s="1">
        <v>44058</v>
      </c>
      <c r="D1278" s="1">
        <v>44280</v>
      </c>
      <c r="E1278">
        <v>61867.27</v>
      </c>
      <c r="F1278">
        <f t="shared" si="58"/>
        <v>2020</v>
      </c>
      <c r="G1278">
        <f t="shared" si="59"/>
        <v>2021</v>
      </c>
      <c r="H1278">
        <f t="shared" si="57"/>
        <v>1</v>
      </c>
    </row>
    <row r="1279" spans="1:8" x14ac:dyDescent="0.25">
      <c r="A1279" t="s">
        <v>2423</v>
      </c>
      <c r="B1279" s="1">
        <v>44615</v>
      </c>
      <c r="C1279" s="1">
        <v>44677</v>
      </c>
      <c r="D1279" s="1">
        <v>45008</v>
      </c>
      <c r="E1279">
        <v>64522.52</v>
      </c>
      <c r="F1279">
        <f t="shared" si="58"/>
        <v>2022</v>
      </c>
      <c r="G1279">
        <f t="shared" si="59"/>
        <v>2023</v>
      </c>
      <c r="H1279">
        <f t="shared" si="57"/>
        <v>1</v>
      </c>
    </row>
    <row r="1280" spans="1:8" x14ac:dyDescent="0.25">
      <c r="A1280" t="s">
        <v>2349</v>
      </c>
      <c r="B1280" s="1">
        <v>44395</v>
      </c>
      <c r="C1280" s="1">
        <v>44426</v>
      </c>
      <c r="D1280" s="1">
        <v>44755</v>
      </c>
      <c r="E1280">
        <v>72588.87</v>
      </c>
      <c r="F1280">
        <f t="shared" si="58"/>
        <v>2021</v>
      </c>
      <c r="G1280">
        <f t="shared" si="59"/>
        <v>2022</v>
      </c>
      <c r="H1280">
        <f t="shared" si="57"/>
        <v>1</v>
      </c>
    </row>
    <row r="1281" spans="1:8" x14ac:dyDescent="0.25">
      <c r="A1281" t="s">
        <v>2230</v>
      </c>
      <c r="B1281" s="1">
        <v>45213</v>
      </c>
      <c r="C1281" s="1">
        <v>45255</v>
      </c>
      <c r="D1281" s="1">
        <v>45594</v>
      </c>
      <c r="E1281">
        <v>38241.629999999997</v>
      </c>
      <c r="F1281">
        <f t="shared" si="58"/>
        <v>2023</v>
      </c>
      <c r="G1281">
        <f t="shared" si="59"/>
        <v>2024</v>
      </c>
      <c r="H1281">
        <f t="shared" si="57"/>
        <v>1</v>
      </c>
    </row>
    <row r="1282" spans="1:8" x14ac:dyDescent="0.25">
      <c r="A1282" t="s">
        <v>2493</v>
      </c>
      <c r="B1282" s="1">
        <v>44449</v>
      </c>
      <c r="C1282" s="1">
        <v>44530</v>
      </c>
      <c r="D1282" s="1">
        <v>44731</v>
      </c>
      <c r="E1282">
        <v>35629.550000000003</v>
      </c>
      <c r="F1282">
        <f t="shared" si="58"/>
        <v>2021</v>
      </c>
      <c r="G1282">
        <f t="shared" si="59"/>
        <v>2022</v>
      </c>
      <c r="H1282">
        <f t="shared" ref="H1282:H1345" si="60">MAX(0,G1282-F1282)</f>
        <v>1</v>
      </c>
    </row>
    <row r="1283" spans="1:8" x14ac:dyDescent="0.25">
      <c r="A1283" t="s">
        <v>2449</v>
      </c>
      <c r="B1283" s="1">
        <v>44705</v>
      </c>
      <c r="C1283" s="1">
        <v>44745</v>
      </c>
      <c r="D1283" s="1">
        <v>45140</v>
      </c>
      <c r="E1283">
        <v>-10355.469999999999</v>
      </c>
      <c r="F1283">
        <f t="shared" ref="F1283:F1346" si="61">YEAR(B1283)</f>
        <v>2022</v>
      </c>
      <c r="G1283">
        <f t="shared" ref="G1283:G1346" si="62">YEAR(D1283)</f>
        <v>2023</v>
      </c>
      <c r="H1283">
        <f t="shared" si="60"/>
        <v>1</v>
      </c>
    </row>
    <row r="1284" spans="1:8" x14ac:dyDescent="0.25">
      <c r="A1284" t="s">
        <v>2802</v>
      </c>
      <c r="B1284" s="1">
        <v>44614</v>
      </c>
      <c r="C1284" s="1">
        <v>44650</v>
      </c>
      <c r="D1284" s="1">
        <v>44786</v>
      </c>
      <c r="E1284">
        <v>15899.85</v>
      </c>
      <c r="F1284">
        <f t="shared" si="61"/>
        <v>2022</v>
      </c>
      <c r="G1284">
        <f t="shared" si="62"/>
        <v>2022</v>
      </c>
      <c r="H1284">
        <f t="shared" si="60"/>
        <v>0</v>
      </c>
    </row>
    <row r="1285" spans="1:8" x14ac:dyDescent="0.25">
      <c r="A1285" t="s">
        <v>2436</v>
      </c>
      <c r="B1285" s="1">
        <v>44184</v>
      </c>
      <c r="C1285" s="1">
        <v>44223</v>
      </c>
      <c r="D1285" s="1">
        <v>44567</v>
      </c>
      <c r="E1285">
        <v>2943.72</v>
      </c>
      <c r="F1285">
        <f t="shared" si="61"/>
        <v>2020</v>
      </c>
      <c r="G1285">
        <f t="shared" si="62"/>
        <v>2022</v>
      </c>
      <c r="H1285">
        <f t="shared" si="60"/>
        <v>2</v>
      </c>
    </row>
    <row r="1286" spans="1:8" x14ac:dyDescent="0.25">
      <c r="A1286" t="s">
        <v>2515</v>
      </c>
      <c r="B1286" s="1">
        <v>45444</v>
      </c>
      <c r="C1286" s="1">
        <v>45520</v>
      </c>
      <c r="D1286" s="1">
        <v>45620</v>
      </c>
      <c r="E1286">
        <v>46954.85</v>
      </c>
      <c r="F1286">
        <f t="shared" si="61"/>
        <v>2024</v>
      </c>
      <c r="G1286">
        <f t="shared" si="62"/>
        <v>2024</v>
      </c>
      <c r="H1286">
        <f t="shared" si="60"/>
        <v>0</v>
      </c>
    </row>
    <row r="1287" spans="1:8" x14ac:dyDescent="0.25">
      <c r="A1287" t="s">
        <v>2402</v>
      </c>
      <c r="B1287" s="1">
        <v>44611</v>
      </c>
      <c r="C1287" s="1">
        <v>44688</v>
      </c>
      <c r="D1287" s="1">
        <v>44788</v>
      </c>
      <c r="E1287">
        <v>46082.99</v>
      </c>
      <c r="F1287">
        <f t="shared" si="61"/>
        <v>2022</v>
      </c>
      <c r="G1287">
        <f t="shared" si="62"/>
        <v>2022</v>
      </c>
      <c r="H1287">
        <f t="shared" si="60"/>
        <v>0</v>
      </c>
    </row>
    <row r="1288" spans="1:8" x14ac:dyDescent="0.25">
      <c r="A1288" t="s">
        <v>2563</v>
      </c>
      <c r="B1288" s="1">
        <v>44474</v>
      </c>
      <c r="C1288" s="1">
        <v>44534</v>
      </c>
      <c r="D1288" s="1">
        <v>44739</v>
      </c>
      <c r="E1288">
        <v>-24219.200000000001</v>
      </c>
      <c r="F1288">
        <f t="shared" si="61"/>
        <v>2021</v>
      </c>
      <c r="G1288">
        <f t="shared" si="62"/>
        <v>2022</v>
      </c>
      <c r="H1288">
        <f t="shared" si="60"/>
        <v>1</v>
      </c>
    </row>
    <row r="1289" spans="1:8" x14ac:dyDescent="0.25">
      <c r="A1289" t="s">
        <v>2518</v>
      </c>
      <c r="B1289" s="1">
        <v>44574</v>
      </c>
      <c r="D1289" s="1">
        <v>44860</v>
      </c>
      <c r="E1289">
        <v>82344.08</v>
      </c>
      <c r="F1289">
        <f t="shared" si="61"/>
        <v>2022</v>
      </c>
      <c r="G1289">
        <f t="shared" si="62"/>
        <v>2022</v>
      </c>
      <c r="H1289">
        <f t="shared" si="60"/>
        <v>0</v>
      </c>
    </row>
    <row r="1290" spans="1:8" x14ac:dyDescent="0.25">
      <c r="A1290" t="s">
        <v>2803</v>
      </c>
      <c r="B1290" s="1">
        <v>44372</v>
      </c>
      <c r="C1290" s="1">
        <v>44407</v>
      </c>
      <c r="D1290" s="1">
        <v>44529</v>
      </c>
      <c r="E1290">
        <v>48126.87</v>
      </c>
      <c r="F1290">
        <f t="shared" si="61"/>
        <v>2021</v>
      </c>
      <c r="G1290">
        <f t="shared" si="62"/>
        <v>2021</v>
      </c>
      <c r="H1290">
        <f t="shared" si="60"/>
        <v>0</v>
      </c>
    </row>
    <row r="1291" spans="1:8" x14ac:dyDescent="0.25">
      <c r="A1291" t="s">
        <v>2328</v>
      </c>
      <c r="B1291" s="1">
        <v>44606</v>
      </c>
      <c r="C1291" s="1">
        <v>44676</v>
      </c>
      <c r="D1291" s="1">
        <v>44706</v>
      </c>
      <c r="E1291">
        <v>-20176.259999999998</v>
      </c>
      <c r="F1291">
        <f t="shared" si="61"/>
        <v>2022</v>
      </c>
      <c r="G1291">
        <f t="shared" si="62"/>
        <v>2022</v>
      </c>
      <c r="H1291">
        <f t="shared" si="60"/>
        <v>0</v>
      </c>
    </row>
    <row r="1292" spans="1:8" x14ac:dyDescent="0.25">
      <c r="A1292" t="s">
        <v>2589</v>
      </c>
      <c r="B1292" s="1">
        <v>44335</v>
      </c>
      <c r="C1292" s="1">
        <v>44411</v>
      </c>
      <c r="D1292" s="1">
        <v>44792</v>
      </c>
      <c r="E1292">
        <v>22884.34</v>
      </c>
      <c r="F1292">
        <f t="shared" si="61"/>
        <v>2021</v>
      </c>
      <c r="G1292">
        <f t="shared" si="62"/>
        <v>2022</v>
      </c>
      <c r="H1292">
        <f t="shared" si="60"/>
        <v>1</v>
      </c>
    </row>
    <row r="1293" spans="1:8" x14ac:dyDescent="0.25">
      <c r="A1293" t="s">
        <v>2804</v>
      </c>
      <c r="B1293" s="1">
        <v>45584</v>
      </c>
      <c r="C1293" s="1">
        <v>45615</v>
      </c>
      <c r="D1293" s="1">
        <v>45650</v>
      </c>
      <c r="E1293">
        <v>24081.88</v>
      </c>
      <c r="F1293">
        <f t="shared" si="61"/>
        <v>2024</v>
      </c>
      <c r="G1293">
        <f t="shared" si="62"/>
        <v>2024</v>
      </c>
      <c r="H1293">
        <f t="shared" si="60"/>
        <v>0</v>
      </c>
    </row>
    <row r="1294" spans="1:8" x14ac:dyDescent="0.25">
      <c r="A1294" t="s">
        <v>2602</v>
      </c>
      <c r="B1294" s="1">
        <v>44736</v>
      </c>
      <c r="C1294" s="1">
        <v>44793</v>
      </c>
      <c r="D1294" s="1">
        <v>45175</v>
      </c>
      <c r="E1294">
        <v>32476.05</v>
      </c>
      <c r="F1294">
        <f t="shared" si="61"/>
        <v>2022</v>
      </c>
      <c r="G1294">
        <f t="shared" si="62"/>
        <v>2023</v>
      </c>
      <c r="H1294">
        <f t="shared" si="60"/>
        <v>1</v>
      </c>
    </row>
    <row r="1295" spans="1:8" x14ac:dyDescent="0.25">
      <c r="A1295" t="s">
        <v>2805</v>
      </c>
      <c r="B1295" s="1">
        <v>44787</v>
      </c>
      <c r="C1295" s="1">
        <v>44829</v>
      </c>
      <c r="D1295" s="1">
        <v>45053</v>
      </c>
      <c r="E1295">
        <v>36694.11</v>
      </c>
      <c r="F1295">
        <f t="shared" si="61"/>
        <v>2022</v>
      </c>
      <c r="G1295">
        <f t="shared" si="62"/>
        <v>2023</v>
      </c>
      <c r="H1295">
        <f t="shared" si="60"/>
        <v>1</v>
      </c>
    </row>
    <row r="1296" spans="1:8" x14ac:dyDescent="0.25">
      <c r="A1296" t="s">
        <v>2806</v>
      </c>
      <c r="B1296" s="1">
        <v>45386</v>
      </c>
      <c r="C1296" s="1">
        <v>45397</v>
      </c>
      <c r="D1296" s="1">
        <v>45604</v>
      </c>
      <c r="E1296">
        <v>79024.62</v>
      </c>
      <c r="F1296">
        <f t="shared" si="61"/>
        <v>2024</v>
      </c>
      <c r="G1296">
        <f t="shared" si="62"/>
        <v>2024</v>
      </c>
      <c r="H1296">
        <f t="shared" si="60"/>
        <v>0</v>
      </c>
    </row>
    <row r="1297" spans="1:8" x14ac:dyDescent="0.25">
      <c r="A1297" t="s">
        <v>2681</v>
      </c>
      <c r="B1297" s="1">
        <v>43965</v>
      </c>
      <c r="C1297" s="1">
        <v>44009</v>
      </c>
      <c r="D1297" s="1">
        <v>44320</v>
      </c>
      <c r="E1297">
        <v>12711.3</v>
      </c>
      <c r="F1297">
        <f t="shared" si="61"/>
        <v>2020</v>
      </c>
      <c r="G1297">
        <f t="shared" si="62"/>
        <v>2021</v>
      </c>
      <c r="H1297">
        <f t="shared" si="60"/>
        <v>1</v>
      </c>
    </row>
    <row r="1298" spans="1:8" x14ac:dyDescent="0.25">
      <c r="A1298" t="s">
        <v>2157</v>
      </c>
      <c r="B1298" s="1">
        <v>43906</v>
      </c>
      <c r="C1298" s="1">
        <v>43907</v>
      </c>
      <c r="D1298" s="1">
        <v>44307</v>
      </c>
      <c r="E1298">
        <v>25704.46</v>
      </c>
      <c r="F1298">
        <f t="shared" si="61"/>
        <v>2020</v>
      </c>
      <c r="G1298">
        <f t="shared" si="62"/>
        <v>2021</v>
      </c>
      <c r="H1298">
        <f t="shared" si="60"/>
        <v>1</v>
      </c>
    </row>
    <row r="1299" spans="1:8" x14ac:dyDescent="0.25">
      <c r="A1299" t="s">
        <v>2807</v>
      </c>
      <c r="B1299" s="1">
        <v>44673</v>
      </c>
      <c r="C1299" s="1">
        <v>44723</v>
      </c>
      <c r="D1299" s="1">
        <v>44794</v>
      </c>
      <c r="E1299">
        <v>55138.66</v>
      </c>
      <c r="F1299">
        <f t="shared" si="61"/>
        <v>2022</v>
      </c>
      <c r="G1299">
        <f t="shared" si="62"/>
        <v>2022</v>
      </c>
      <c r="H1299">
        <f t="shared" si="60"/>
        <v>0</v>
      </c>
    </row>
    <row r="1300" spans="1:8" x14ac:dyDescent="0.25">
      <c r="A1300" t="s">
        <v>2808</v>
      </c>
      <c r="B1300" s="1">
        <v>43965</v>
      </c>
      <c r="C1300" s="1">
        <v>44051</v>
      </c>
      <c r="D1300" s="1">
        <v>44224</v>
      </c>
      <c r="E1300">
        <v>-12528.86</v>
      </c>
      <c r="F1300">
        <f t="shared" si="61"/>
        <v>2020</v>
      </c>
      <c r="G1300">
        <f t="shared" si="62"/>
        <v>2021</v>
      </c>
      <c r="H1300">
        <f t="shared" si="60"/>
        <v>1</v>
      </c>
    </row>
    <row r="1301" spans="1:8" x14ac:dyDescent="0.25">
      <c r="A1301" t="s">
        <v>2696</v>
      </c>
      <c r="B1301" s="1">
        <v>44243</v>
      </c>
      <c r="C1301" s="1">
        <v>44262</v>
      </c>
      <c r="D1301" s="1">
        <v>44293</v>
      </c>
      <c r="E1301">
        <v>15307.23</v>
      </c>
      <c r="F1301">
        <f t="shared" si="61"/>
        <v>2021</v>
      </c>
      <c r="G1301">
        <f t="shared" si="62"/>
        <v>2021</v>
      </c>
      <c r="H1301">
        <f t="shared" si="60"/>
        <v>0</v>
      </c>
    </row>
    <row r="1302" spans="1:8" x14ac:dyDescent="0.25">
      <c r="A1302" t="s">
        <v>2214</v>
      </c>
      <c r="B1302" s="1">
        <v>44908</v>
      </c>
      <c r="C1302" s="1">
        <v>44953</v>
      </c>
      <c r="D1302" s="1">
        <v>45272</v>
      </c>
      <c r="E1302">
        <v>-19147.45</v>
      </c>
      <c r="F1302">
        <f t="shared" si="61"/>
        <v>2022</v>
      </c>
      <c r="G1302">
        <f t="shared" si="62"/>
        <v>2023</v>
      </c>
      <c r="H1302">
        <f t="shared" si="60"/>
        <v>1</v>
      </c>
    </row>
    <row r="1303" spans="1:8" x14ac:dyDescent="0.25">
      <c r="A1303" t="s">
        <v>2809</v>
      </c>
      <c r="B1303" s="1">
        <v>44588</v>
      </c>
      <c r="C1303" s="1">
        <v>44622</v>
      </c>
      <c r="D1303" s="1">
        <v>44807</v>
      </c>
      <c r="E1303">
        <v>71602.2</v>
      </c>
      <c r="F1303">
        <f t="shared" si="61"/>
        <v>2022</v>
      </c>
      <c r="G1303">
        <f t="shared" si="62"/>
        <v>2022</v>
      </c>
      <c r="H1303">
        <f t="shared" si="60"/>
        <v>0</v>
      </c>
    </row>
    <row r="1304" spans="1:8" x14ac:dyDescent="0.25">
      <c r="A1304" t="s">
        <v>2806</v>
      </c>
      <c r="B1304" s="1">
        <v>45386</v>
      </c>
      <c r="C1304" s="1">
        <v>45397</v>
      </c>
      <c r="D1304" s="1">
        <v>45543</v>
      </c>
      <c r="E1304">
        <v>54701.33</v>
      </c>
      <c r="F1304">
        <f t="shared" si="61"/>
        <v>2024</v>
      </c>
      <c r="G1304">
        <f t="shared" si="62"/>
        <v>2024</v>
      </c>
      <c r="H1304">
        <f t="shared" si="60"/>
        <v>0</v>
      </c>
    </row>
    <row r="1305" spans="1:8" x14ac:dyDescent="0.25">
      <c r="A1305" t="s">
        <v>2228</v>
      </c>
      <c r="B1305" s="1">
        <v>45097</v>
      </c>
      <c r="C1305" s="1">
        <v>45117</v>
      </c>
      <c r="D1305" s="1">
        <v>45493</v>
      </c>
      <c r="E1305">
        <v>34410.559999999998</v>
      </c>
      <c r="F1305">
        <f t="shared" si="61"/>
        <v>2023</v>
      </c>
      <c r="G1305">
        <f t="shared" si="62"/>
        <v>2024</v>
      </c>
      <c r="H1305">
        <f t="shared" si="60"/>
        <v>1</v>
      </c>
    </row>
    <row r="1306" spans="1:8" x14ac:dyDescent="0.25">
      <c r="A1306" t="s">
        <v>2772</v>
      </c>
      <c r="B1306" s="1">
        <v>44072</v>
      </c>
      <c r="C1306" s="1">
        <v>44129</v>
      </c>
      <c r="D1306" s="1">
        <v>44190</v>
      </c>
      <c r="E1306">
        <v>50666.76</v>
      </c>
      <c r="F1306">
        <f t="shared" si="61"/>
        <v>2020</v>
      </c>
      <c r="G1306">
        <f t="shared" si="62"/>
        <v>2020</v>
      </c>
      <c r="H1306">
        <f t="shared" si="60"/>
        <v>0</v>
      </c>
    </row>
    <row r="1307" spans="1:8" x14ac:dyDescent="0.25">
      <c r="A1307" t="s">
        <v>2433</v>
      </c>
      <c r="B1307" s="1">
        <v>45041</v>
      </c>
      <c r="C1307" s="1">
        <v>45087</v>
      </c>
      <c r="D1307" s="1">
        <v>45481</v>
      </c>
      <c r="E1307">
        <v>40884.74</v>
      </c>
      <c r="F1307">
        <f t="shared" si="61"/>
        <v>2023</v>
      </c>
      <c r="G1307">
        <f t="shared" si="62"/>
        <v>2024</v>
      </c>
      <c r="H1307">
        <f t="shared" si="60"/>
        <v>1</v>
      </c>
    </row>
    <row r="1308" spans="1:8" x14ac:dyDescent="0.25">
      <c r="A1308" t="s">
        <v>2425</v>
      </c>
      <c r="B1308" s="1">
        <v>44829</v>
      </c>
      <c r="C1308" s="1">
        <v>44854</v>
      </c>
      <c r="D1308" s="1">
        <v>45173</v>
      </c>
      <c r="E1308">
        <v>84890.42</v>
      </c>
      <c r="F1308">
        <f t="shared" si="61"/>
        <v>2022</v>
      </c>
      <c r="G1308">
        <f t="shared" si="62"/>
        <v>2023</v>
      </c>
      <c r="H1308">
        <f t="shared" si="60"/>
        <v>1</v>
      </c>
    </row>
    <row r="1309" spans="1:8" x14ac:dyDescent="0.25">
      <c r="A1309" t="s">
        <v>2810</v>
      </c>
      <c r="B1309" s="1">
        <v>44536</v>
      </c>
      <c r="C1309" s="1">
        <v>44574</v>
      </c>
      <c r="D1309" s="1">
        <v>44650</v>
      </c>
      <c r="E1309">
        <v>25960.29</v>
      </c>
      <c r="F1309">
        <f t="shared" si="61"/>
        <v>2021</v>
      </c>
      <c r="G1309">
        <f t="shared" si="62"/>
        <v>2022</v>
      </c>
      <c r="H1309">
        <f t="shared" si="60"/>
        <v>1</v>
      </c>
    </row>
    <row r="1310" spans="1:8" x14ac:dyDescent="0.25">
      <c r="A1310" t="s">
        <v>2276</v>
      </c>
      <c r="B1310" s="1">
        <v>44825</v>
      </c>
      <c r="C1310" s="1">
        <v>44902</v>
      </c>
      <c r="D1310" s="1">
        <v>45336</v>
      </c>
      <c r="E1310">
        <v>31047.45</v>
      </c>
      <c r="F1310">
        <f t="shared" si="61"/>
        <v>2022</v>
      </c>
      <c r="G1310">
        <f t="shared" si="62"/>
        <v>2024</v>
      </c>
      <c r="H1310">
        <f t="shared" si="60"/>
        <v>2</v>
      </c>
    </row>
    <row r="1311" spans="1:8" x14ac:dyDescent="0.25">
      <c r="A1311" t="s">
        <v>2459</v>
      </c>
      <c r="B1311" s="1">
        <v>45232</v>
      </c>
      <c r="C1311" s="1">
        <v>45262</v>
      </c>
      <c r="D1311" s="1">
        <v>45577</v>
      </c>
      <c r="E1311">
        <v>84678.68</v>
      </c>
      <c r="F1311">
        <f t="shared" si="61"/>
        <v>2023</v>
      </c>
      <c r="G1311">
        <f t="shared" si="62"/>
        <v>2024</v>
      </c>
      <c r="H1311">
        <f t="shared" si="60"/>
        <v>1</v>
      </c>
    </row>
    <row r="1312" spans="1:8" x14ac:dyDescent="0.25">
      <c r="A1312" t="s">
        <v>2363</v>
      </c>
      <c r="B1312" s="1">
        <v>44676</v>
      </c>
      <c r="C1312" s="1">
        <v>44715</v>
      </c>
      <c r="D1312" s="1">
        <v>45108</v>
      </c>
      <c r="E1312">
        <v>18274.71</v>
      </c>
      <c r="F1312">
        <f t="shared" si="61"/>
        <v>2022</v>
      </c>
      <c r="G1312">
        <f t="shared" si="62"/>
        <v>2023</v>
      </c>
      <c r="H1312">
        <f t="shared" si="60"/>
        <v>1</v>
      </c>
    </row>
    <row r="1313" spans="1:8" x14ac:dyDescent="0.25">
      <c r="A1313" t="s">
        <v>2477</v>
      </c>
      <c r="B1313" s="1">
        <v>45089</v>
      </c>
      <c r="C1313" s="1">
        <v>45149</v>
      </c>
      <c r="D1313" s="1">
        <v>45398</v>
      </c>
      <c r="E1313">
        <v>72109.81</v>
      </c>
      <c r="F1313">
        <f t="shared" si="61"/>
        <v>2023</v>
      </c>
      <c r="G1313">
        <f t="shared" si="62"/>
        <v>2024</v>
      </c>
      <c r="H1313">
        <f t="shared" si="60"/>
        <v>1</v>
      </c>
    </row>
    <row r="1314" spans="1:8" x14ac:dyDescent="0.25">
      <c r="A1314" t="s">
        <v>2243</v>
      </c>
      <c r="B1314" s="1">
        <v>44141</v>
      </c>
      <c r="C1314" s="1">
        <v>44207</v>
      </c>
      <c r="D1314" s="1">
        <v>44853</v>
      </c>
      <c r="E1314">
        <v>56191.34</v>
      </c>
      <c r="F1314">
        <f t="shared" si="61"/>
        <v>2020</v>
      </c>
      <c r="G1314">
        <f t="shared" si="62"/>
        <v>2022</v>
      </c>
      <c r="H1314">
        <f t="shared" si="60"/>
        <v>2</v>
      </c>
    </row>
    <row r="1315" spans="1:8" x14ac:dyDescent="0.25">
      <c r="A1315" t="s">
        <v>2737</v>
      </c>
      <c r="B1315" s="1">
        <v>45232</v>
      </c>
      <c r="C1315" s="1">
        <v>45279</v>
      </c>
      <c r="D1315" s="1">
        <v>45189</v>
      </c>
      <c r="E1315">
        <v>71722.3</v>
      </c>
      <c r="F1315">
        <f t="shared" si="61"/>
        <v>2023</v>
      </c>
      <c r="G1315">
        <f t="shared" si="62"/>
        <v>2023</v>
      </c>
      <c r="H1315">
        <f t="shared" si="60"/>
        <v>0</v>
      </c>
    </row>
    <row r="1316" spans="1:8" x14ac:dyDescent="0.25">
      <c r="A1316" t="s">
        <v>2811</v>
      </c>
      <c r="B1316" s="1">
        <v>44064</v>
      </c>
      <c r="C1316" s="1">
        <v>44105</v>
      </c>
      <c r="D1316" s="1">
        <v>44266</v>
      </c>
      <c r="E1316">
        <v>50598.6</v>
      </c>
      <c r="F1316">
        <f t="shared" si="61"/>
        <v>2020</v>
      </c>
      <c r="G1316">
        <f t="shared" si="62"/>
        <v>2021</v>
      </c>
      <c r="H1316">
        <f t="shared" si="60"/>
        <v>1</v>
      </c>
    </row>
    <row r="1317" spans="1:8" x14ac:dyDescent="0.25">
      <c r="A1317" t="s">
        <v>2678</v>
      </c>
      <c r="B1317" s="1">
        <v>44911</v>
      </c>
      <c r="C1317" s="1">
        <v>44974</v>
      </c>
      <c r="D1317" s="1">
        <v>45227</v>
      </c>
      <c r="E1317">
        <v>-21437.34</v>
      </c>
      <c r="F1317">
        <f t="shared" si="61"/>
        <v>2022</v>
      </c>
      <c r="G1317">
        <f t="shared" si="62"/>
        <v>2023</v>
      </c>
      <c r="H1317">
        <f t="shared" si="60"/>
        <v>1</v>
      </c>
    </row>
    <row r="1318" spans="1:8" x14ac:dyDescent="0.25">
      <c r="A1318" t="s">
        <v>2763</v>
      </c>
      <c r="B1318" s="1">
        <v>44165</v>
      </c>
      <c r="C1318" s="1">
        <v>44204</v>
      </c>
      <c r="D1318" s="1">
        <v>44602</v>
      </c>
      <c r="E1318">
        <v>33095.769999999997</v>
      </c>
      <c r="F1318">
        <f t="shared" si="61"/>
        <v>2020</v>
      </c>
      <c r="G1318">
        <f t="shared" si="62"/>
        <v>2022</v>
      </c>
      <c r="H1318">
        <f t="shared" si="60"/>
        <v>2</v>
      </c>
    </row>
    <row r="1319" spans="1:8" x14ac:dyDescent="0.25">
      <c r="A1319" t="s">
        <v>2812</v>
      </c>
      <c r="B1319" s="1">
        <v>44763</v>
      </c>
      <c r="C1319" s="1">
        <v>44782</v>
      </c>
      <c r="D1319" s="1">
        <v>44958</v>
      </c>
      <c r="E1319">
        <v>82949.94</v>
      </c>
      <c r="F1319">
        <f t="shared" si="61"/>
        <v>2022</v>
      </c>
      <c r="G1319">
        <f t="shared" si="62"/>
        <v>2023</v>
      </c>
      <c r="H1319">
        <f t="shared" si="60"/>
        <v>1</v>
      </c>
    </row>
    <row r="1320" spans="1:8" x14ac:dyDescent="0.25">
      <c r="A1320" t="s">
        <v>2762</v>
      </c>
      <c r="B1320" s="1">
        <v>44194</v>
      </c>
      <c r="C1320" s="1">
        <v>44213</v>
      </c>
      <c r="D1320" s="1">
        <v>44643</v>
      </c>
      <c r="E1320">
        <v>18898.79</v>
      </c>
      <c r="F1320">
        <f t="shared" si="61"/>
        <v>2020</v>
      </c>
      <c r="G1320">
        <f t="shared" si="62"/>
        <v>2022</v>
      </c>
      <c r="H1320">
        <f t="shared" si="60"/>
        <v>2</v>
      </c>
    </row>
    <row r="1321" spans="1:8" x14ac:dyDescent="0.25">
      <c r="A1321" t="s">
        <v>2174</v>
      </c>
      <c r="B1321" s="1">
        <v>44367</v>
      </c>
      <c r="C1321" s="1">
        <v>44372</v>
      </c>
      <c r="D1321" s="1">
        <v>44858</v>
      </c>
      <c r="E1321">
        <v>2783.01</v>
      </c>
      <c r="F1321">
        <f t="shared" si="61"/>
        <v>2021</v>
      </c>
      <c r="G1321">
        <f t="shared" si="62"/>
        <v>2022</v>
      </c>
      <c r="H1321">
        <f t="shared" si="60"/>
        <v>1</v>
      </c>
    </row>
    <row r="1322" spans="1:8" x14ac:dyDescent="0.25">
      <c r="A1322" t="s">
        <v>2653</v>
      </c>
      <c r="B1322" s="1">
        <v>44386</v>
      </c>
      <c r="C1322" s="1">
        <v>44433</v>
      </c>
      <c r="D1322" s="1">
        <v>44753</v>
      </c>
      <c r="E1322">
        <v>15759.73</v>
      </c>
      <c r="F1322">
        <f t="shared" si="61"/>
        <v>2021</v>
      </c>
      <c r="G1322">
        <f t="shared" si="62"/>
        <v>2022</v>
      </c>
      <c r="H1322">
        <f t="shared" si="60"/>
        <v>1</v>
      </c>
    </row>
    <row r="1323" spans="1:8" x14ac:dyDescent="0.25">
      <c r="A1323" t="s">
        <v>2332</v>
      </c>
      <c r="B1323" s="1">
        <v>43840</v>
      </c>
      <c r="C1323" s="1">
        <v>43881</v>
      </c>
      <c r="D1323" s="1">
        <v>44128</v>
      </c>
      <c r="E1323">
        <v>-5194.6000000000004</v>
      </c>
      <c r="F1323">
        <f t="shared" si="61"/>
        <v>2020</v>
      </c>
      <c r="G1323">
        <f t="shared" si="62"/>
        <v>2020</v>
      </c>
      <c r="H1323">
        <f t="shared" si="60"/>
        <v>0</v>
      </c>
    </row>
    <row r="1324" spans="1:8" x14ac:dyDescent="0.25">
      <c r="A1324" t="s">
        <v>2813</v>
      </c>
      <c r="B1324" s="1">
        <v>44768</v>
      </c>
      <c r="C1324" s="1">
        <v>44772</v>
      </c>
      <c r="D1324" s="1">
        <v>44829</v>
      </c>
      <c r="E1324">
        <v>83210.880000000005</v>
      </c>
      <c r="F1324">
        <f t="shared" si="61"/>
        <v>2022</v>
      </c>
      <c r="G1324">
        <f t="shared" si="62"/>
        <v>2022</v>
      </c>
      <c r="H1324">
        <f t="shared" si="60"/>
        <v>0</v>
      </c>
    </row>
    <row r="1325" spans="1:8" x14ac:dyDescent="0.25">
      <c r="A1325" t="s">
        <v>2814</v>
      </c>
      <c r="B1325" s="1">
        <v>45499</v>
      </c>
      <c r="C1325" s="1">
        <v>45538</v>
      </c>
      <c r="D1325" s="1">
        <v>45706</v>
      </c>
      <c r="E1325">
        <v>67371.289999999994</v>
      </c>
      <c r="F1325">
        <f t="shared" si="61"/>
        <v>2024</v>
      </c>
      <c r="G1325">
        <f t="shared" si="62"/>
        <v>2025</v>
      </c>
      <c r="H1325">
        <f t="shared" si="60"/>
        <v>1</v>
      </c>
    </row>
    <row r="1326" spans="1:8" x14ac:dyDescent="0.25">
      <c r="A1326" t="s">
        <v>2202</v>
      </c>
      <c r="B1326" s="1">
        <v>44303</v>
      </c>
      <c r="C1326" s="1">
        <v>44383</v>
      </c>
      <c r="D1326" s="1">
        <v>44861</v>
      </c>
      <c r="E1326">
        <v>6458.71</v>
      </c>
      <c r="F1326">
        <f t="shared" si="61"/>
        <v>2021</v>
      </c>
      <c r="G1326">
        <f t="shared" si="62"/>
        <v>2022</v>
      </c>
      <c r="H1326">
        <f t="shared" si="60"/>
        <v>1</v>
      </c>
    </row>
    <row r="1327" spans="1:8" x14ac:dyDescent="0.25">
      <c r="A1327" t="s">
        <v>2542</v>
      </c>
      <c r="B1327" s="1">
        <v>44605</v>
      </c>
      <c r="C1327" s="1">
        <v>44631</v>
      </c>
      <c r="D1327" s="1">
        <v>44808</v>
      </c>
      <c r="E1327">
        <v>6841.98</v>
      </c>
      <c r="F1327">
        <f t="shared" si="61"/>
        <v>2022</v>
      </c>
      <c r="G1327">
        <f t="shared" si="62"/>
        <v>2022</v>
      </c>
      <c r="H1327">
        <f t="shared" si="60"/>
        <v>0</v>
      </c>
    </row>
    <row r="1328" spans="1:8" x14ac:dyDescent="0.25">
      <c r="A1328" t="s">
        <v>2456</v>
      </c>
      <c r="B1328" s="1">
        <v>45244</v>
      </c>
      <c r="C1328" s="1">
        <v>45323</v>
      </c>
      <c r="D1328" s="1">
        <v>45503</v>
      </c>
      <c r="E1328">
        <v>73595.83</v>
      </c>
      <c r="F1328">
        <f t="shared" si="61"/>
        <v>2023</v>
      </c>
      <c r="G1328">
        <f t="shared" si="62"/>
        <v>2024</v>
      </c>
      <c r="H1328">
        <f t="shared" si="60"/>
        <v>1</v>
      </c>
    </row>
    <row r="1329" spans="1:8" x14ac:dyDescent="0.25">
      <c r="A1329" t="s">
        <v>2398</v>
      </c>
      <c r="B1329" s="1">
        <v>44296</v>
      </c>
      <c r="C1329" s="1">
        <v>44313</v>
      </c>
      <c r="D1329" s="1">
        <v>44665</v>
      </c>
      <c r="E1329">
        <v>53052.27</v>
      </c>
      <c r="F1329">
        <f t="shared" si="61"/>
        <v>2021</v>
      </c>
      <c r="G1329">
        <f t="shared" si="62"/>
        <v>2022</v>
      </c>
      <c r="H1329">
        <f t="shared" si="60"/>
        <v>1</v>
      </c>
    </row>
    <row r="1330" spans="1:8" x14ac:dyDescent="0.25">
      <c r="A1330" t="s">
        <v>2728</v>
      </c>
      <c r="B1330" s="1">
        <v>44534</v>
      </c>
      <c r="C1330" s="1">
        <v>44592</v>
      </c>
      <c r="D1330" s="1">
        <v>45071</v>
      </c>
      <c r="E1330">
        <v>57995.51</v>
      </c>
      <c r="F1330">
        <f t="shared" si="61"/>
        <v>2021</v>
      </c>
      <c r="G1330">
        <f t="shared" si="62"/>
        <v>2023</v>
      </c>
      <c r="H1330">
        <f t="shared" si="60"/>
        <v>2</v>
      </c>
    </row>
    <row r="1331" spans="1:8" x14ac:dyDescent="0.25">
      <c r="A1331" t="s">
        <v>2154</v>
      </c>
      <c r="B1331" s="1">
        <v>44916</v>
      </c>
      <c r="C1331" s="1">
        <v>45003</v>
      </c>
      <c r="D1331" s="1">
        <v>45090</v>
      </c>
      <c r="E1331">
        <v>35412.089999999997</v>
      </c>
      <c r="F1331">
        <f t="shared" si="61"/>
        <v>2022</v>
      </c>
      <c r="G1331">
        <f t="shared" si="62"/>
        <v>2023</v>
      </c>
      <c r="H1331">
        <f t="shared" si="60"/>
        <v>1</v>
      </c>
    </row>
    <row r="1332" spans="1:8" x14ac:dyDescent="0.25">
      <c r="A1332" t="s">
        <v>2412</v>
      </c>
      <c r="B1332" s="1">
        <v>43926</v>
      </c>
      <c r="C1332" s="1">
        <v>43982</v>
      </c>
      <c r="D1332" s="1">
        <v>44243</v>
      </c>
      <c r="E1332">
        <v>25267.759999999998</v>
      </c>
      <c r="F1332">
        <f t="shared" si="61"/>
        <v>2020</v>
      </c>
      <c r="G1332">
        <f t="shared" si="62"/>
        <v>2021</v>
      </c>
      <c r="H1332">
        <f t="shared" si="60"/>
        <v>1</v>
      </c>
    </row>
    <row r="1333" spans="1:8" x14ac:dyDescent="0.25">
      <c r="A1333" t="s">
        <v>2815</v>
      </c>
      <c r="B1333" s="1">
        <v>44142</v>
      </c>
      <c r="C1333" s="1">
        <v>44165</v>
      </c>
      <c r="D1333" s="1">
        <v>44372</v>
      </c>
      <c r="E1333">
        <v>22679.5</v>
      </c>
      <c r="F1333">
        <f t="shared" si="61"/>
        <v>2020</v>
      </c>
      <c r="G1333">
        <f t="shared" si="62"/>
        <v>2021</v>
      </c>
      <c r="H1333">
        <f t="shared" si="60"/>
        <v>1</v>
      </c>
    </row>
    <row r="1334" spans="1:8" x14ac:dyDescent="0.25">
      <c r="A1334" t="s">
        <v>2816</v>
      </c>
      <c r="B1334" s="1">
        <v>44507</v>
      </c>
      <c r="C1334" s="1">
        <v>44593</v>
      </c>
      <c r="D1334" s="1">
        <v>45160</v>
      </c>
      <c r="E1334">
        <v>9400.59</v>
      </c>
      <c r="F1334">
        <f t="shared" si="61"/>
        <v>2021</v>
      </c>
      <c r="G1334">
        <f t="shared" si="62"/>
        <v>2023</v>
      </c>
      <c r="H1334">
        <f t="shared" si="60"/>
        <v>2</v>
      </c>
    </row>
    <row r="1335" spans="1:8" x14ac:dyDescent="0.25">
      <c r="A1335" t="s">
        <v>2380</v>
      </c>
      <c r="B1335" s="1">
        <v>45152</v>
      </c>
      <c r="C1335" s="1">
        <v>45156</v>
      </c>
      <c r="D1335" s="1">
        <v>45367</v>
      </c>
      <c r="E1335">
        <v>28559.79</v>
      </c>
      <c r="F1335">
        <f t="shared" si="61"/>
        <v>2023</v>
      </c>
      <c r="G1335">
        <f t="shared" si="62"/>
        <v>2024</v>
      </c>
      <c r="H1335">
        <f t="shared" si="60"/>
        <v>1</v>
      </c>
    </row>
    <row r="1336" spans="1:8" x14ac:dyDescent="0.25">
      <c r="A1336" t="s">
        <v>2756</v>
      </c>
      <c r="B1336" s="1">
        <v>44707</v>
      </c>
      <c r="C1336" s="1">
        <v>44771</v>
      </c>
      <c r="D1336" s="1">
        <v>45107</v>
      </c>
      <c r="E1336">
        <v>47768.21</v>
      </c>
      <c r="F1336">
        <f t="shared" si="61"/>
        <v>2022</v>
      </c>
      <c r="G1336">
        <f t="shared" si="62"/>
        <v>2023</v>
      </c>
      <c r="H1336">
        <f t="shared" si="60"/>
        <v>1</v>
      </c>
    </row>
    <row r="1337" spans="1:8" x14ac:dyDescent="0.25">
      <c r="A1337" t="s">
        <v>2180</v>
      </c>
      <c r="B1337" s="1">
        <v>44488</v>
      </c>
      <c r="C1337" s="1">
        <v>44556</v>
      </c>
      <c r="D1337" s="1">
        <v>44683</v>
      </c>
      <c r="E1337">
        <v>77860.31</v>
      </c>
      <c r="F1337">
        <f t="shared" si="61"/>
        <v>2021</v>
      </c>
      <c r="G1337">
        <f t="shared" si="62"/>
        <v>2022</v>
      </c>
      <c r="H1337">
        <f t="shared" si="60"/>
        <v>1</v>
      </c>
    </row>
    <row r="1338" spans="1:8" x14ac:dyDescent="0.25">
      <c r="A1338" t="s">
        <v>2371</v>
      </c>
      <c r="B1338" s="1">
        <v>44902</v>
      </c>
      <c r="C1338" s="1">
        <v>44973</v>
      </c>
      <c r="D1338" s="1">
        <v>45147</v>
      </c>
      <c r="E1338">
        <v>48584.7</v>
      </c>
      <c r="F1338">
        <f t="shared" si="61"/>
        <v>2022</v>
      </c>
      <c r="G1338">
        <f t="shared" si="62"/>
        <v>2023</v>
      </c>
      <c r="H1338">
        <f t="shared" si="60"/>
        <v>1</v>
      </c>
    </row>
    <row r="1339" spans="1:8" x14ac:dyDescent="0.25">
      <c r="A1339" t="s">
        <v>2817</v>
      </c>
      <c r="B1339" s="1">
        <v>44270</v>
      </c>
      <c r="C1339" s="1">
        <v>44351</v>
      </c>
      <c r="D1339" s="1">
        <v>44568</v>
      </c>
      <c r="E1339">
        <v>23128.11</v>
      </c>
      <c r="F1339">
        <f t="shared" si="61"/>
        <v>2021</v>
      </c>
      <c r="G1339">
        <f t="shared" si="62"/>
        <v>2022</v>
      </c>
      <c r="H1339">
        <f t="shared" si="60"/>
        <v>1</v>
      </c>
    </row>
    <row r="1340" spans="1:8" x14ac:dyDescent="0.25">
      <c r="A1340" t="s">
        <v>2781</v>
      </c>
      <c r="B1340" s="1">
        <v>44651</v>
      </c>
      <c r="C1340" s="1">
        <v>44734</v>
      </c>
      <c r="D1340" s="1">
        <v>44801</v>
      </c>
      <c r="E1340">
        <v>-3314.98</v>
      </c>
      <c r="F1340">
        <f t="shared" si="61"/>
        <v>2022</v>
      </c>
      <c r="G1340">
        <f t="shared" si="62"/>
        <v>2022</v>
      </c>
      <c r="H1340">
        <f t="shared" si="60"/>
        <v>0</v>
      </c>
    </row>
    <row r="1341" spans="1:8" x14ac:dyDescent="0.25">
      <c r="A1341" t="s">
        <v>2418</v>
      </c>
      <c r="B1341" s="1">
        <v>44198</v>
      </c>
      <c r="C1341" s="1">
        <v>44257</v>
      </c>
      <c r="D1341" s="1">
        <v>44293</v>
      </c>
      <c r="E1341">
        <v>39829.33</v>
      </c>
      <c r="F1341">
        <f t="shared" si="61"/>
        <v>2021</v>
      </c>
      <c r="G1341">
        <f t="shared" si="62"/>
        <v>2021</v>
      </c>
      <c r="H1341">
        <f t="shared" si="60"/>
        <v>0</v>
      </c>
    </row>
    <row r="1342" spans="1:8" x14ac:dyDescent="0.25">
      <c r="A1342" t="s">
        <v>2434</v>
      </c>
      <c r="B1342" s="1">
        <v>45364</v>
      </c>
      <c r="C1342" s="1">
        <v>45443</v>
      </c>
      <c r="D1342" s="1">
        <v>45562</v>
      </c>
      <c r="E1342">
        <v>50426.25</v>
      </c>
      <c r="F1342">
        <f t="shared" si="61"/>
        <v>2024</v>
      </c>
      <c r="G1342">
        <f t="shared" si="62"/>
        <v>2024</v>
      </c>
      <c r="H1342">
        <f t="shared" si="60"/>
        <v>0</v>
      </c>
    </row>
    <row r="1343" spans="1:8" x14ac:dyDescent="0.25">
      <c r="A1343" t="s">
        <v>2156</v>
      </c>
      <c r="B1343" s="1">
        <v>44970</v>
      </c>
      <c r="C1343" s="1">
        <v>45031</v>
      </c>
      <c r="D1343" s="1">
        <v>45269</v>
      </c>
      <c r="E1343">
        <v>37329.78</v>
      </c>
      <c r="F1343">
        <f t="shared" si="61"/>
        <v>2023</v>
      </c>
      <c r="G1343">
        <f t="shared" si="62"/>
        <v>2023</v>
      </c>
      <c r="H1343">
        <f t="shared" si="60"/>
        <v>0</v>
      </c>
    </row>
    <row r="1344" spans="1:8" x14ac:dyDescent="0.25">
      <c r="A1344" t="s">
        <v>2818</v>
      </c>
      <c r="B1344" s="1">
        <v>45269</v>
      </c>
      <c r="C1344" s="1">
        <v>45310</v>
      </c>
      <c r="D1344" s="1">
        <v>45581</v>
      </c>
      <c r="E1344">
        <v>-16504.89</v>
      </c>
      <c r="F1344">
        <f t="shared" si="61"/>
        <v>2023</v>
      </c>
      <c r="G1344">
        <f t="shared" si="62"/>
        <v>2024</v>
      </c>
      <c r="H1344">
        <f t="shared" si="60"/>
        <v>1</v>
      </c>
    </row>
    <row r="1345" spans="1:8" x14ac:dyDescent="0.25">
      <c r="A1345" t="s">
        <v>2161</v>
      </c>
      <c r="B1345" s="1">
        <v>44934</v>
      </c>
      <c r="C1345" s="1">
        <v>45007</v>
      </c>
      <c r="D1345" s="1">
        <v>45173</v>
      </c>
      <c r="E1345">
        <v>18957.66</v>
      </c>
      <c r="F1345">
        <f t="shared" si="61"/>
        <v>2023</v>
      </c>
      <c r="G1345">
        <f t="shared" si="62"/>
        <v>2023</v>
      </c>
      <c r="H1345">
        <f t="shared" si="60"/>
        <v>0</v>
      </c>
    </row>
    <row r="1346" spans="1:8" x14ac:dyDescent="0.25">
      <c r="A1346" t="s">
        <v>2283</v>
      </c>
      <c r="B1346" s="1">
        <v>43843</v>
      </c>
      <c r="C1346" s="1">
        <v>43896</v>
      </c>
      <c r="D1346" s="1">
        <v>43950</v>
      </c>
      <c r="E1346">
        <v>9500.2099999999991</v>
      </c>
      <c r="F1346">
        <f t="shared" si="61"/>
        <v>2020</v>
      </c>
      <c r="G1346">
        <f t="shared" si="62"/>
        <v>2020</v>
      </c>
      <c r="H1346">
        <f t="shared" ref="H1346:H1409" si="63">MAX(0,G1346-F1346)</f>
        <v>0</v>
      </c>
    </row>
    <row r="1347" spans="1:8" x14ac:dyDescent="0.25">
      <c r="A1347" t="s">
        <v>2656</v>
      </c>
      <c r="B1347" s="1">
        <v>44607</v>
      </c>
      <c r="C1347" s="1">
        <v>44695</v>
      </c>
      <c r="D1347" s="1">
        <v>44865</v>
      </c>
      <c r="E1347">
        <v>-1706.6</v>
      </c>
      <c r="F1347">
        <f t="shared" ref="F1347:F1410" si="64">YEAR(B1347)</f>
        <v>2022</v>
      </c>
      <c r="G1347">
        <f t="shared" ref="G1347:G1410" si="65">YEAR(D1347)</f>
        <v>2022</v>
      </c>
      <c r="H1347">
        <f t="shared" si="63"/>
        <v>0</v>
      </c>
    </row>
    <row r="1348" spans="1:8" x14ac:dyDescent="0.25">
      <c r="A1348" t="s">
        <v>2819</v>
      </c>
      <c r="B1348" s="1">
        <v>44983</v>
      </c>
      <c r="C1348" s="1">
        <v>45034</v>
      </c>
      <c r="D1348" s="1">
        <v>45119</v>
      </c>
      <c r="E1348">
        <v>15735.2</v>
      </c>
      <c r="F1348">
        <f t="shared" si="64"/>
        <v>2023</v>
      </c>
      <c r="G1348">
        <f t="shared" si="65"/>
        <v>2023</v>
      </c>
      <c r="H1348">
        <f t="shared" si="63"/>
        <v>0</v>
      </c>
    </row>
    <row r="1349" spans="1:8" x14ac:dyDescent="0.25">
      <c r="A1349" t="s">
        <v>2578</v>
      </c>
      <c r="B1349" s="1">
        <v>44191</v>
      </c>
      <c r="C1349" s="1">
        <v>44222</v>
      </c>
      <c r="D1349" s="1">
        <v>44417</v>
      </c>
      <c r="E1349">
        <v>68755.240000000005</v>
      </c>
      <c r="F1349">
        <f t="shared" si="64"/>
        <v>2020</v>
      </c>
      <c r="G1349">
        <f t="shared" si="65"/>
        <v>2021</v>
      </c>
      <c r="H1349">
        <f t="shared" si="63"/>
        <v>1</v>
      </c>
    </row>
    <row r="1350" spans="1:8" x14ac:dyDescent="0.25">
      <c r="A1350" t="s">
        <v>2554</v>
      </c>
      <c r="B1350" s="1">
        <v>45558</v>
      </c>
      <c r="C1350" s="1">
        <v>45591</v>
      </c>
      <c r="D1350" s="1">
        <v>45780</v>
      </c>
      <c r="E1350">
        <v>37740.69</v>
      </c>
      <c r="F1350">
        <f t="shared" si="64"/>
        <v>2024</v>
      </c>
      <c r="G1350">
        <f t="shared" si="65"/>
        <v>2025</v>
      </c>
      <c r="H1350">
        <f t="shared" si="63"/>
        <v>1</v>
      </c>
    </row>
    <row r="1351" spans="1:8" x14ac:dyDescent="0.25">
      <c r="A1351" t="s">
        <v>2657</v>
      </c>
      <c r="B1351" s="1">
        <v>44084</v>
      </c>
      <c r="C1351" s="1">
        <v>44156</v>
      </c>
      <c r="D1351" s="1">
        <v>44242</v>
      </c>
      <c r="E1351">
        <v>3541.27</v>
      </c>
      <c r="F1351">
        <f t="shared" si="64"/>
        <v>2020</v>
      </c>
      <c r="G1351">
        <f t="shared" si="65"/>
        <v>2021</v>
      </c>
      <c r="H1351">
        <f t="shared" si="63"/>
        <v>1</v>
      </c>
    </row>
    <row r="1352" spans="1:8" x14ac:dyDescent="0.25">
      <c r="A1352" t="s">
        <v>2399</v>
      </c>
      <c r="B1352" s="1">
        <v>44162</v>
      </c>
      <c r="C1352" s="1">
        <v>44246</v>
      </c>
      <c r="D1352" s="1">
        <v>44351</v>
      </c>
      <c r="E1352">
        <v>69648.63</v>
      </c>
      <c r="F1352">
        <f t="shared" si="64"/>
        <v>2020</v>
      </c>
      <c r="G1352">
        <f t="shared" si="65"/>
        <v>2021</v>
      </c>
      <c r="H1352">
        <f t="shared" si="63"/>
        <v>1</v>
      </c>
    </row>
    <row r="1353" spans="1:8" x14ac:dyDescent="0.25">
      <c r="A1353" t="s">
        <v>2254</v>
      </c>
      <c r="B1353" s="1">
        <v>44035</v>
      </c>
      <c r="C1353" s="1">
        <v>44101</v>
      </c>
      <c r="D1353" s="1">
        <v>44432</v>
      </c>
      <c r="E1353">
        <v>-19022.759999999998</v>
      </c>
      <c r="F1353">
        <f t="shared" si="64"/>
        <v>2020</v>
      </c>
      <c r="G1353">
        <f t="shared" si="65"/>
        <v>2021</v>
      </c>
      <c r="H1353">
        <f t="shared" si="63"/>
        <v>1</v>
      </c>
    </row>
    <row r="1354" spans="1:8" x14ac:dyDescent="0.25">
      <c r="A1354" t="s">
        <v>2448</v>
      </c>
      <c r="B1354" s="1">
        <v>45593</v>
      </c>
      <c r="C1354" s="1">
        <v>45641</v>
      </c>
      <c r="D1354" s="1">
        <v>45751</v>
      </c>
      <c r="E1354">
        <v>25902.86</v>
      </c>
      <c r="F1354">
        <f t="shared" si="64"/>
        <v>2024</v>
      </c>
      <c r="G1354">
        <f t="shared" si="65"/>
        <v>2025</v>
      </c>
      <c r="H1354">
        <f t="shared" si="63"/>
        <v>1</v>
      </c>
    </row>
    <row r="1355" spans="1:8" x14ac:dyDescent="0.25">
      <c r="A1355" t="s">
        <v>2375</v>
      </c>
      <c r="B1355" s="1">
        <v>45385</v>
      </c>
      <c r="C1355" s="1">
        <v>45438</v>
      </c>
      <c r="D1355" s="1">
        <v>45537</v>
      </c>
      <c r="E1355">
        <v>27683.4</v>
      </c>
      <c r="F1355">
        <f t="shared" si="64"/>
        <v>2024</v>
      </c>
      <c r="G1355">
        <f t="shared" si="65"/>
        <v>2024</v>
      </c>
      <c r="H1355">
        <f t="shared" si="63"/>
        <v>0</v>
      </c>
    </row>
    <row r="1356" spans="1:8" x14ac:dyDescent="0.25">
      <c r="A1356" t="s">
        <v>2820</v>
      </c>
      <c r="B1356" s="1">
        <v>44735</v>
      </c>
      <c r="C1356" s="1">
        <v>44777</v>
      </c>
      <c r="D1356" s="1">
        <v>45012</v>
      </c>
      <c r="E1356">
        <v>5649.55</v>
      </c>
      <c r="F1356">
        <f t="shared" si="64"/>
        <v>2022</v>
      </c>
      <c r="G1356">
        <f t="shared" si="65"/>
        <v>2023</v>
      </c>
      <c r="H1356">
        <f t="shared" si="63"/>
        <v>1</v>
      </c>
    </row>
    <row r="1357" spans="1:8" x14ac:dyDescent="0.25">
      <c r="A1357" t="s">
        <v>2430</v>
      </c>
      <c r="B1357" s="1">
        <v>44518</v>
      </c>
      <c r="C1357" s="1">
        <v>44590</v>
      </c>
      <c r="D1357" s="1">
        <v>44857</v>
      </c>
      <c r="E1357">
        <v>20127.48</v>
      </c>
      <c r="F1357">
        <f t="shared" si="64"/>
        <v>2021</v>
      </c>
      <c r="G1357">
        <f t="shared" si="65"/>
        <v>2022</v>
      </c>
      <c r="H1357">
        <f t="shared" si="63"/>
        <v>1</v>
      </c>
    </row>
    <row r="1358" spans="1:8" x14ac:dyDescent="0.25">
      <c r="A1358" t="s">
        <v>2821</v>
      </c>
      <c r="B1358" s="1">
        <v>43979</v>
      </c>
      <c r="C1358" s="1">
        <v>44011</v>
      </c>
      <c r="D1358" s="1">
        <v>44175</v>
      </c>
      <c r="E1358">
        <v>-16523.939999999999</v>
      </c>
      <c r="F1358">
        <f t="shared" si="64"/>
        <v>2020</v>
      </c>
      <c r="G1358">
        <f t="shared" si="65"/>
        <v>2020</v>
      </c>
      <c r="H1358">
        <f t="shared" si="63"/>
        <v>0</v>
      </c>
    </row>
    <row r="1359" spans="1:8" x14ac:dyDescent="0.25">
      <c r="A1359" t="s">
        <v>2564</v>
      </c>
      <c r="B1359" s="1">
        <v>44585</v>
      </c>
      <c r="C1359" s="1">
        <v>44623</v>
      </c>
      <c r="D1359" s="1">
        <v>44865</v>
      </c>
      <c r="E1359">
        <v>69006.22</v>
      </c>
      <c r="F1359">
        <f t="shared" si="64"/>
        <v>2022</v>
      </c>
      <c r="G1359">
        <f t="shared" si="65"/>
        <v>2022</v>
      </c>
      <c r="H1359">
        <f t="shared" si="63"/>
        <v>0</v>
      </c>
    </row>
    <row r="1360" spans="1:8" x14ac:dyDescent="0.25">
      <c r="A1360" t="s">
        <v>2822</v>
      </c>
      <c r="B1360" s="1">
        <v>45613</v>
      </c>
      <c r="D1360" s="1">
        <v>45728</v>
      </c>
      <c r="E1360">
        <v>6394.29</v>
      </c>
      <c r="F1360">
        <f t="shared" si="64"/>
        <v>2024</v>
      </c>
      <c r="G1360">
        <f t="shared" si="65"/>
        <v>2025</v>
      </c>
      <c r="H1360">
        <f t="shared" si="63"/>
        <v>1</v>
      </c>
    </row>
    <row r="1361" spans="1:8" x14ac:dyDescent="0.25">
      <c r="A1361" t="s">
        <v>2448</v>
      </c>
      <c r="B1361" s="1">
        <v>45593</v>
      </c>
      <c r="C1361" s="1">
        <v>45641</v>
      </c>
      <c r="D1361" s="1">
        <v>45802</v>
      </c>
      <c r="E1361">
        <v>21563.21</v>
      </c>
      <c r="F1361">
        <f t="shared" si="64"/>
        <v>2024</v>
      </c>
      <c r="G1361">
        <f t="shared" si="65"/>
        <v>2025</v>
      </c>
      <c r="H1361">
        <f t="shared" si="63"/>
        <v>1</v>
      </c>
    </row>
    <row r="1362" spans="1:8" x14ac:dyDescent="0.25">
      <c r="A1362" t="s">
        <v>2823</v>
      </c>
      <c r="B1362" s="1">
        <v>45264</v>
      </c>
      <c r="C1362" s="1">
        <v>45278</v>
      </c>
      <c r="D1362" s="1">
        <v>45360</v>
      </c>
      <c r="E1362">
        <v>50179.53</v>
      </c>
      <c r="F1362">
        <f t="shared" si="64"/>
        <v>2023</v>
      </c>
      <c r="G1362">
        <f t="shared" si="65"/>
        <v>2024</v>
      </c>
      <c r="H1362">
        <f t="shared" si="63"/>
        <v>1</v>
      </c>
    </row>
    <row r="1363" spans="1:8" x14ac:dyDescent="0.25">
      <c r="A1363" t="s">
        <v>2746</v>
      </c>
      <c r="B1363" s="1">
        <v>44580</v>
      </c>
      <c r="C1363" s="1">
        <v>44584</v>
      </c>
      <c r="D1363" s="1">
        <v>44882</v>
      </c>
      <c r="E1363">
        <v>33852.339999999997</v>
      </c>
      <c r="F1363">
        <f t="shared" si="64"/>
        <v>2022</v>
      </c>
      <c r="G1363">
        <f t="shared" si="65"/>
        <v>2022</v>
      </c>
      <c r="H1363">
        <f t="shared" si="63"/>
        <v>0</v>
      </c>
    </row>
    <row r="1364" spans="1:8" x14ac:dyDescent="0.25">
      <c r="A1364" t="s">
        <v>2749</v>
      </c>
      <c r="B1364" s="1">
        <v>45116</v>
      </c>
      <c r="C1364" s="1">
        <v>45181</v>
      </c>
      <c r="D1364" s="1">
        <v>45437</v>
      </c>
      <c r="E1364">
        <v>55705.2</v>
      </c>
      <c r="F1364">
        <f t="shared" si="64"/>
        <v>2023</v>
      </c>
      <c r="G1364">
        <f t="shared" si="65"/>
        <v>2024</v>
      </c>
      <c r="H1364">
        <f t="shared" si="63"/>
        <v>1</v>
      </c>
    </row>
    <row r="1365" spans="1:8" x14ac:dyDescent="0.25">
      <c r="A1365" t="s">
        <v>2632</v>
      </c>
      <c r="B1365" s="1">
        <v>44571</v>
      </c>
      <c r="C1365" s="1">
        <v>44629</v>
      </c>
      <c r="D1365" s="1">
        <v>44659</v>
      </c>
      <c r="E1365">
        <v>69224.19</v>
      </c>
      <c r="F1365">
        <f t="shared" si="64"/>
        <v>2022</v>
      </c>
      <c r="G1365">
        <f t="shared" si="65"/>
        <v>2022</v>
      </c>
      <c r="H1365">
        <f t="shared" si="63"/>
        <v>0</v>
      </c>
    </row>
    <row r="1366" spans="1:8" x14ac:dyDescent="0.25">
      <c r="A1366" t="s">
        <v>2824</v>
      </c>
      <c r="B1366" s="1">
        <v>44833</v>
      </c>
      <c r="C1366" s="1">
        <v>44888</v>
      </c>
      <c r="D1366" s="1">
        <v>44937</v>
      </c>
      <c r="E1366">
        <v>47899.23</v>
      </c>
      <c r="F1366">
        <f t="shared" si="64"/>
        <v>2022</v>
      </c>
      <c r="G1366">
        <f t="shared" si="65"/>
        <v>2023</v>
      </c>
      <c r="H1366">
        <f t="shared" si="63"/>
        <v>1</v>
      </c>
    </row>
    <row r="1367" spans="1:8" x14ac:dyDescent="0.25">
      <c r="A1367" t="s">
        <v>2237</v>
      </c>
      <c r="B1367" s="1">
        <v>45411</v>
      </c>
      <c r="C1367" s="1">
        <v>45414</v>
      </c>
      <c r="D1367" s="1">
        <v>45563</v>
      </c>
      <c r="E1367">
        <v>4581.91</v>
      </c>
      <c r="F1367">
        <f t="shared" si="64"/>
        <v>2024</v>
      </c>
      <c r="G1367">
        <f t="shared" si="65"/>
        <v>2024</v>
      </c>
      <c r="H1367">
        <f t="shared" si="63"/>
        <v>0</v>
      </c>
    </row>
    <row r="1368" spans="1:8" x14ac:dyDescent="0.25">
      <c r="A1368" t="s">
        <v>2825</v>
      </c>
      <c r="B1368" s="1">
        <v>43976</v>
      </c>
      <c r="C1368" s="1">
        <v>44037</v>
      </c>
      <c r="D1368" s="1">
        <v>44242</v>
      </c>
      <c r="E1368">
        <v>60269.18</v>
      </c>
      <c r="F1368">
        <f t="shared" si="64"/>
        <v>2020</v>
      </c>
      <c r="G1368">
        <f t="shared" si="65"/>
        <v>2021</v>
      </c>
      <c r="H1368">
        <f t="shared" si="63"/>
        <v>1</v>
      </c>
    </row>
    <row r="1369" spans="1:8" x14ac:dyDescent="0.25">
      <c r="A1369" t="s">
        <v>2369</v>
      </c>
      <c r="B1369" s="1">
        <v>43902</v>
      </c>
      <c r="C1369" s="1">
        <v>43977</v>
      </c>
      <c r="D1369" s="1">
        <v>44091</v>
      </c>
      <c r="E1369">
        <v>6718.79</v>
      </c>
      <c r="F1369">
        <f t="shared" si="64"/>
        <v>2020</v>
      </c>
      <c r="G1369">
        <f t="shared" si="65"/>
        <v>2020</v>
      </c>
      <c r="H1369">
        <f t="shared" si="63"/>
        <v>0</v>
      </c>
    </row>
    <row r="1370" spans="1:8" x14ac:dyDescent="0.25">
      <c r="A1370" t="s">
        <v>2312</v>
      </c>
      <c r="B1370" s="1">
        <v>45413</v>
      </c>
      <c r="C1370" s="1">
        <v>45446</v>
      </c>
      <c r="D1370" s="1">
        <v>45605</v>
      </c>
      <c r="E1370">
        <v>47500.85</v>
      </c>
      <c r="F1370">
        <f t="shared" si="64"/>
        <v>2024</v>
      </c>
      <c r="G1370">
        <f t="shared" si="65"/>
        <v>2024</v>
      </c>
      <c r="H1370">
        <f t="shared" si="63"/>
        <v>0</v>
      </c>
    </row>
    <row r="1371" spans="1:8" x14ac:dyDescent="0.25">
      <c r="A1371" t="s">
        <v>2712</v>
      </c>
      <c r="B1371" s="1">
        <v>44894</v>
      </c>
      <c r="C1371" s="1">
        <v>44930</v>
      </c>
      <c r="D1371" s="1">
        <v>45408</v>
      </c>
      <c r="E1371">
        <v>41459.660000000003</v>
      </c>
      <c r="F1371">
        <f t="shared" si="64"/>
        <v>2022</v>
      </c>
      <c r="G1371">
        <f t="shared" si="65"/>
        <v>2024</v>
      </c>
      <c r="H1371">
        <f t="shared" si="63"/>
        <v>2</v>
      </c>
    </row>
    <row r="1372" spans="1:8" x14ac:dyDescent="0.25">
      <c r="A1372" t="s">
        <v>2784</v>
      </c>
      <c r="B1372" s="1">
        <v>45140</v>
      </c>
      <c r="C1372" s="1">
        <v>45185</v>
      </c>
      <c r="D1372" s="1">
        <v>45654</v>
      </c>
      <c r="E1372">
        <v>7545.37</v>
      </c>
      <c r="F1372">
        <f t="shared" si="64"/>
        <v>2023</v>
      </c>
      <c r="G1372">
        <f t="shared" si="65"/>
        <v>2024</v>
      </c>
      <c r="H1372">
        <f t="shared" si="63"/>
        <v>1</v>
      </c>
    </row>
    <row r="1373" spans="1:8" x14ac:dyDescent="0.25">
      <c r="A1373" t="s">
        <v>2456</v>
      </c>
      <c r="B1373" s="1">
        <v>45244</v>
      </c>
      <c r="C1373" s="1">
        <v>45323</v>
      </c>
      <c r="D1373" s="1">
        <v>45660</v>
      </c>
      <c r="E1373">
        <v>42953.94</v>
      </c>
      <c r="F1373">
        <f t="shared" si="64"/>
        <v>2023</v>
      </c>
      <c r="G1373">
        <f t="shared" si="65"/>
        <v>2025</v>
      </c>
      <c r="H1373">
        <f t="shared" si="63"/>
        <v>2</v>
      </c>
    </row>
    <row r="1374" spans="1:8" x14ac:dyDescent="0.25">
      <c r="A1374" t="s">
        <v>2637</v>
      </c>
      <c r="B1374" s="1">
        <v>44226</v>
      </c>
      <c r="C1374" s="1">
        <v>44269</v>
      </c>
      <c r="D1374" s="1">
        <v>44544</v>
      </c>
      <c r="E1374">
        <v>68471.61</v>
      </c>
      <c r="F1374">
        <f t="shared" si="64"/>
        <v>2021</v>
      </c>
      <c r="G1374">
        <f t="shared" si="65"/>
        <v>2021</v>
      </c>
      <c r="H1374">
        <f t="shared" si="63"/>
        <v>0</v>
      </c>
    </row>
    <row r="1375" spans="1:8" x14ac:dyDescent="0.25">
      <c r="A1375" t="s">
        <v>2697</v>
      </c>
      <c r="B1375" s="1">
        <v>43931</v>
      </c>
      <c r="C1375" s="1">
        <v>44016</v>
      </c>
      <c r="D1375" s="1">
        <v>44347</v>
      </c>
      <c r="E1375">
        <v>-9439.65</v>
      </c>
      <c r="F1375">
        <f t="shared" si="64"/>
        <v>2020</v>
      </c>
      <c r="G1375">
        <f t="shared" si="65"/>
        <v>2021</v>
      </c>
      <c r="H1375">
        <f t="shared" si="63"/>
        <v>1</v>
      </c>
    </row>
    <row r="1376" spans="1:8" x14ac:dyDescent="0.25">
      <c r="A1376" t="s">
        <v>2235</v>
      </c>
      <c r="B1376" s="1">
        <v>43854</v>
      </c>
      <c r="C1376" s="1">
        <v>43896</v>
      </c>
      <c r="D1376" s="1">
        <v>44302</v>
      </c>
      <c r="E1376">
        <v>-17611.28</v>
      </c>
      <c r="F1376">
        <f t="shared" si="64"/>
        <v>2020</v>
      </c>
      <c r="G1376">
        <f t="shared" si="65"/>
        <v>2021</v>
      </c>
      <c r="H1376">
        <f t="shared" si="63"/>
        <v>1</v>
      </c>
    </row>
    <row r="1377" spans="1:8" x14ac:dyDescent="0.25">
      <c r="A1377" t="s">
        <v>2762</v>
      </c>
      <c r="B1377" s="1">
        <v>44194</v>
      </c>
      <c r="C1377" s="1">
        <v>44213</v>
      </c>
      <c r="D1377" s="1">
        <v>44589</v>
      </c>
      <c r="E1377">
        <v>3378.51</v>
      </c>
      <c r="F1377">
        <f t="shared" si="64"/>
        <v>2020</v>
      </c>
      <c r="G1377">
        <f t="shared" si="65"/>
        <v>2022</v>
      </c>
      <c r="H1377">
        <f t="shared" si="63"/>
        <v>2</v>
      </c>
    </row>
    <row r="1378" spans="1:8" x14ac:dyDescent="0.25">
      <c r="A1378" t="s">
        <v>2826</v>
      </c>
      <c r="B1378" s="1">
        <v>44483</v>
      </c>
      <c r="C1378" s="1">
        <v>44554</v>
      </c>
      <c r="D1378" s="1">
        <v>44791</v>
      </c>
      <c r="E1378">
        <v>4955.1099999999997</v>
      </c>
      <c r="F1378">
        <f t="shared" si="64"/>
        <v>2021</v>
      </c>
      <c r="G1378">
        <f t="shared" si="65"/>
        <v>2022</v>
      </c>
      <c r="H1378">
        <f t="shared" si="63"/>
        <v>1</v>
      </c>
    </row>
    <row r="1379" spans="1:8" x14ac:dyDescent="0.25">
      <c r="A1379" t="s">
        <v>2702</v>
      </c>
      <c r="B1379" s="1">
        <v>45256</v>
      </c>
      <c r="C1379" s="1">
        <v>45322</v>
      </c>
      <c r="D1379" s="1">
        <v>45617</v>
      </c>
      <c r="E1379">
        <v>48574.67</v>
      </c>
      <c r="F1379">
        <f t="shared" si="64"/>
        <v>2023</v>
      </c>
      <c r="G1379">
        <f t="shared" si="65"/>
        <v>2024</v>
      </c>
      <c r="H1379">
        <f t="shared" si="63"/>
        <v>1</v>
      </c>
    </row>
    <row r="1380" spans="1:8" x14ac:dyDescent="0.25">
      <c r="A1380" t="s">
        <v>2332</v>
      </c>
      <c r="B1380" s="1">
        <v>43840</v>
      </c>
      <c r="C1380" s="1">
        <v>43881</v>
      </c>
      <c r="D1380" s="1">
        <v>44353</v>
      </c>
      <c r="E1380">
        <v>-11126.65</v>
      </c>
      <c r="F1380">
        <f t="shared" si="64"/>
        <v>2020</v>
      </c>
      <c r="G1380">
        <f t="shared" si="65"/>
        <v>2021</v>
      </c>
      <c r="H1380">
        <f t="shared" si="63"/>
        <v>1</v>
      </c>
    </row>
    <row r="1381" spans="1:8" x14ac:dyDescent="0.25">
      <c r="A1381" t="s">
        <v>2404</v>
      </c>
      <c r="B1381" s="1">
        <v>44813</v>
      </c>
      <c r="C1381" s="1">
        <v>44842</v>
      </c>
      <c r="D1381" s="1">
        <v>44954</v>
      </c>
      <c r="E1381">
        <v>55836.94</v>
      </c>
      <c r="F1381">
        <f t="shared" si="64"/>
        <v>2022</v>
      </c>
      <c r="G1381">
        <f t="shared" si="65"/>
        <v>2023</v>
      </c>
      <c r="H1381">
        <f t="shared" si="63"/>
        <v>1</v>
      </c>
    </row>
    <row r="1382" spans="1:8" x14ac:dyDescent="0.25">
      <c r="A1382" t="s">
        <v>2218</v>
      </c>
      <c r="B1382" s="1">
        <v>44192</v>
      </c>
      <c r="C1382" s="1">
        <v>44226</v>
      </c>
      <c r="D1382" s="1">
        <v>44658</v>
      </c>
      <c r="E1382">
        <v>29620.82</v>
      </c>
      <c r="F1382">
        <f t="shared" si="64"/>
        <v>2020</v>
      </c>
      <c r="G1382">
        <f t="shared" si="65"/>
        <v>2022</v>
      </c>
      <c r="H1382">
        <f t="shared" si="63"/>
        <v>2</v>
      </c>
    </row>
    <row r="1383" spans="1:8" x14ac:dyDescent="0.25">
      <c r="A1383" t="s">
        <v>2707</v>
      </c>
      <c r="B1383" s="1">
        <v>44669</v>
      </c>
      <c r="C1383" s="1">
        <v>44747</v>
      </c>
      <c r="D1383" s="1">
        <v>45019</v>
      </c>
      <c r="E1383">
        <v>28011.49</v>
      </c>
      <c r="F1383">
        <f t="shared" si="64"/>
        <v>2022</v>
      </c>
      <c r="G1383">
        <f t="shared" si="65"/>
        <v>2023</v>
      </c>
      <c r="H1383">
        <f t="shared" si="63"/>
        <v>1</v>
      </c>
    </row>
    <row r="1384" spans="1:8" x14ac:dyDescent="0.25">
      <c r="A1384" t="s">
        <v>2375</v>
      </c>
      <c r="B1384" s="1">
        <v>45385</v>
      </c>
      <c r="C1384" s="1">
        <v>45438</v>
      </c>
      <c r="D1384" s="1">
        <v>45670</v>
      </c>
      <c r="E1384">
        <v>77136.460000000006</v>
      </c>
      <c r="F1384">
        <f t="shared" si="64"/>
        <v>2024</v>
      </c>
      <c r="G1384">
        <f t="shared" si="65"/>
        <v>2025</v>
      </c>
      <c r="H1384">
        <f t="shared" si="63"/>
        <v>1</v>
      </c>
    </row>
    <row r="1385" spans="1:8" x14ac:dyDescent="0.25">
      <c r="A1385" t="s">
        <v>2782</v>
      </c>
      <c r="B1385" s="1">
        <v>43903</v>
      </c>
      <c r="C1385" s="1">
        <v>43921</v>
      </c>
      <c r="D1385" s="1">
        <v>44357</v>
      </c>
      <c r="E1385">
        <v>44340.44</v>
      </c>
      <c r="F1385">
        <f t="shared" si="64"/>
        <v>2020</v>
      </c>
      <c r="G1385">
        <f t="shared" si="65"/>
        <v>2021</v>
      </c>
      <c r="H1385">
        <f t="shared" si="63"/>
        <v>1</v>
      </c>
    </row>
    <row r="1386" spans="1:8" x14ac:dyDescent="0.25">
      <c r="A1386" t="s">
        <v>2465</v>
      </c>
      <c r="B1386" s="1">
        <v>45614</v>
      </c>
      <c r="C1386" s="1">
        <v>45635</v>
      </c>
      <c r="D1386" s="1">
        <v>45763</v>
      </c>
      <c r="E1386">
        <v>72742.81</v>
      </c>
      <c r="F1386">
        <f t="shared" si="64"/>
        <v>2024</v>
      </c>
      <c r="G1386">
        <f t="shared" si="65"/>
        <v>2025</v>
      </c>
      <c r="H1386">
        <f t="shared" si="63"/>
        <v>1</v>
      </c>
    </row>
    <row r="1387" spans="1:8" x14ac:dyDescent="0.25">
      <c r="A1387" t="s">
        <v>2224</v>
      </c>
      <c r="B1387" s="1">
        <v>45192</v>
      </c>
      <c r="C1387" s="1">
        <v>45256</v>
      </c>
      <c r="D1387" s="1">
        <v>45768</v>
      </c>
      <c r="E1387">
        <v>48152.59</v>
      </c>
      <c r="F1387">
        <f t="shared" si="64"/>
        <v>2023</v>
      </c>
      <c r="G1387">
        <f t="shared" si="65"/>
        <v>2025</v>
      </c>
      <c r="H1387">
        <f t="shared" si="63"/>
        <v>2</v>
      </c>
    </row>
    <row r="1388" spans="1:8" x14ac:dyDescent="0.25">
      <c r="A1388" t="s">
        <v>2156</v>
      </c>
      <c r="B1388" s="1">
        <v>44970</v>
      </c>
      <c r="C1388" s="1">
        <v>45031</v>
      </c>
      <c r="D1388" s="1">
        <v>45095</v>
      </c>
      <c r="E1388">
        <v>63241</v>
      </c>
      <c r="F1388">
        <f t="shared" si="64"/>
        <v>2023</v>
      </c>
      <c r="G1388">
        <f t="shared" si="65"/>
        <v>2023</v>
      </c>
      <c r="H1388">
        <f t="shared" si="63"/>
        <v>0</v>
      </c>
    </row>
    <row r="1389" spans="1:8" x14ac:dyDescent="0.25">
      <c r="A1389" t="s">
        <v>2682</v>
      </c>
      <c r="B1389" s="1">
        <v>44305</v>
      </c>
      <c r="C1389" s="1">
        <v>44336</v>
      </c>
      <c r="D1389" s="1">
        <v>44399</v>
      </c>
      <c r="E1389">
        <v>55458.39</v>
      </c>
      <c r="F1389">
        <f t="shared" si="64"/>
        <v>2021</v>
      </c>
      <c r="G1389">
        <f t="shared" si="65"/>
        <v>2021</v>
      </c>
      <c r="H1389">
        <f t="shared" si="63"/>
        <v>0</v>
      </c>
    </row>
    <row r="1390" spans="1:8" x14ac:dyDescent="0.25">
      <c r="A1390" t="s">
        <v>2824</v>
      </c>
      <c r="B1390" s="1">
        <v>44833</v>
      </c>
      <c r="C1390" s="1">
        <v>44888</v>
      </c>
      <c r="D1390" s="1">
        <v>44958</v>
      </c>
      <c r="E1390">
        <v>-15072.55</v>
      </c>
      <c r="F1390">
        <f t="shared" si="64"/>
        <v>2022</v>
      </c>
      <c r="G1390">
        <f t="shared" si="65"/>
        <v>2023</v>
      </c>
      <c r="H1390">
        <f t="shared" si="63"/>
        <v>1</v>
      </c>
    </row>
    <row r="1391" spans="1:8" x14ac:dyDescent="0.25">
      <c r="A1391" t="s">
        <v>2277</v>
      </c>
      <c r="B1391" s="1">
        <v>43881</v>
      </c>
      <c r="C1391" s="1">
        <v>43941</v>
      </c>
      <c r="D1391" s="1">
        <v>44093</v>
      </c>
      <c r="E1391">
        <v>20406.38</v>
      </c>
      <c r="F1391">
        <f t="shared" si="64"/>
        <v>2020</v>
      </c>
      <c r="G1391">
        <f t="shared" si="65"/>
        <v>2020</v>
      </c>
      <c r="H1391">
        <f t="shared" si="63"/>
        <v>0</v>
      </c>
    </row>
    <row r="1392" spans="1:8" x14ac:dyDescent="0.25">
      <c r="A1392" t="s">
        <v>2827</v>
      </c>
      <c r="B1392" s="1">
        <v>45479</v>
      </c>
      <c r="C1392" s="1">
        <v>45519</v>
      </c>
      <c r="D1392" s="1">
        <v>45662</v>
      </c>
      <c r="E1392">
        <v>45494.17</v>
      </c>
      <c r="F1392">
        <f t="shared" si="64"/>
        <v>2024</v>
      </c>
      <c r="G1392">
        <f t="shared" si="65"/>
        <v>2025</v>
      </c>
      <c r="H1392">
        <f t="shared" si="63"/>
        <v>1</v>
      </c>
    </row>
    <row r="1393" spans="1:8" x14ac:dyDescent="0.25">
      <c r="A1393" t="s">
        <v>2621</v>
      </c>
      <c r="B1393" s="1">
        <v>44981</v>
      </c>
      <c r="C1393" s="1">
        <v>45067</v>
      </c>
      <c r="D1393" s="1">
        <v>45392</v>
      </c>
      <c r="E1393">
        <v>45659.4</v>
      </c>
      <c r="F1393">
        <f t="shared" si="64"/>
        <v>2023</v>
      </c>
      <c r="G1393">
        <f t="shared" si="65"/>
        <v>2024</v>
      </c>
      <c r="H1393">
        <f t="shared" si="63"/>
        <v>1</v>
      </c>
    </row>
    <row r="1394" spans="1:8" x14ac:dyDescent="0.25">
      <c r="A1394" t="s">
        <v>2828</v>
      </c>
      <c r="B1394" s="1">
        <v>45408</v>
      </c>
      <c r="C1394" s="1">
        <v>45439</v>
      </c>
      <c r="D1394" s="1">
        <v>45521</v>
      </c>
      <c r="E1394">
        <v>67853.5</v>
      </c>
      <c r="F1394">
        <f t="shared" si="64"/>
        <v>2024</v>
      </c>
      <c r="G1394">
        <f t="shared" si="65"/>
        <v>2024</v>
      </c>
      <c r="H1394">
        <f t="shared" si="63"/>
        <v>0</v>
      </c>
    </row>
    <row r="1395" spans="1:8" x14ac:dyDescent="0.25">
      <c r="A1395" t="s">
        <v>2531</v>
      </c>
      <c r="B1395" s="1">
        <v>44136</v>
      </c>
      <c r="C1395" s="1">
        <v>44212</v>
      </c>
      <c r="D1395" s="1">
        <v>44581</v>
      </c>
      <c r="E1395">
        <v>-12692.12</v>
      </c>
      <c r="F1395">
        <f t="shared" si="64"/>
        <v>2020</v>
      </c>
      <c r="G1395">
        <f t="shared" si="65"/>
        <v>2022</v>
      </c>
      <c r="H1395">
        <f t="shared" si="63"/>
        <v>2</v>
      </c>
    </row>
    <row r="1396" spans="1:8" x14ac:dyDescent="0.25">
      <c r="A1396" t="s">
        <v>2504</v>
      </c>
      <c r="B1396" s="1">
        <v>44648</v>
      </c>
      <c r="D1396" s="1">
        <v>45214</v>
      </c>
      <c r="E1396">
        <v>66107.56</v>
      </c>
      <c r="F1396">
        <f t="shared" si="64"/>
        <v>2022</v>
      </c>
      <c r="G1396">
        <f t="shared" si="65"/>
        <v>2023</v>
      </c>
      <c r="H1396">
        <f t="shared" si="63"/>
        <v>1</v>
      </c>
    </row>
    <row r="1397" spans="1:8" x14ac:dyDescent="0.25">
      <c r="A1397" t="s">
        <v>2349</v>
      </c>
      <c r="B1397" s="1">
        <v>44395</v>
      </c>
      <c r="C1397" s="1">
        <v>44426</v>
      </c>
      <c r="D1397" s="1">
        <v>44787</v>
      </c>
      <c r="E1397">
        <v>33065.65</v>
      </c>
      <c r="F1397">
        <f t="shared" si="64"/>
        <v>2021</v>
      </c>
      <c r="G1397">
        <f t="shared" si="65"/>
        <v>2022</v>
      </c>
      <c r="H1397">
        <f t="shared" si="63"/>
        <v>1</v>
      </c>
    </row>
    <row r="1398" spans="1:8" x14ac:dyDescent="0.25">
      <c r="A1398" t="s">
        <v>2276</v>
      </c>
      <c r="B1398" s="1">
        <v>44825</v>
      </c>
      <c r="C1398" s="1">
        <v>44902</v>
      </c>
      <c r="D1398" s="1">
        <v>45262</v>
      </c>
      <c r="E1398">
        <v>51507.99</v>
      </c>
      <c r="F1398">
        <f t="shared" si="64"/>
        <v>2022</v>
      </c>
      <c r="G1398">
        <f t="shared" si="65"/>
        <v>2023</v>
      </c>
      <c r="H1398">
        <f t="shared" si="63"/>
        <v>1</v>
      </c>
    </row>
    <row r="1399" spans="1:8" x14ac:dyDescent="0.25">
      <c r="A1399" t="s">
        <v>2418</v>
      </c>
      <c r="B1399" s="1">
        <v>44198</v>
      </c>
      <c r="C1399" s="1">
        <v>44257</v>
      </c>
      <c r="D1399" s="1">
        <v>44708</v>
      </c>
      <c r="E1399">
        <v>25463.68</v>
      </c>
      <c r="F1399">
        <f t="shared" si="64"/>
        <v>2021</v>
      </c>
      <c r="G1399">
        <f t="shared" si="65"/>
        <v>2022</v>
      </c>
      <c r="H1399">
        <f t="shared" si="63"/>
        <v>1</v>
      </c>
    </row>
    <row r="1400" spans="1:8" x14ac:dyDescent="0.25">
      <c r="A1400" t="s">
        <v>2354</v>
      </c>
      <c r="B1400" s="1">
        <v>44880</v>
      </c>
      <c r="C1400" s="1">
        <v>44929</v>
      </c>
      <c r="D1400" s="1">
        <v>44853</v>
      </c>
      <c r="E1400">
        <v>46593.58</v>
      </c>
      <c r="F1400">
        <f t="shared" si="64"/>
        <v>2022</v>
      </c>
      <c r="G1400">
        <f t="shared" si="65"/>
        <v>2022</v>
      </c>
      <c r="H1400">
        <f t="shared" si="63"/>
        <v>0</v>
      </c>
    </row>
    <row r="1401" spans="1:8" x14ac:dyDescent="0.25">
      <c r="A1401" t="s">
        <v>2287</v>
      </c>
      <c r="B1401" s="1">
        <v>43941</v>
      </c>
      <c r="C1401" s="1">
        <v>43976</v>
      </c>
      <c r="D1401" s="1">
        <v>44466</v>
      </c>
      <c r="E1401">
        <v>26305.49</v>
      </c>
      <c r="F1401">
        <f t="shared" si="64"/>
        <v>2020</v>
      </c>
      <c r="G1401">
        <f t="shared" si="65"/>
        <v>2021</v>
      </c>
      <c r="H1401">
        <f t="shared" si="63"/>
        <v>1</v>
      </c>
    </row>
    <row r="1402" spans="1:8" x14ac:dyDescent="0.25">
      <c r="A1402" t="s">
        <v>2449</v>
      </c>
      <c r="B1402" s="1">
        <v>44705</v>
      </c>
      <c r="C1402" s="1">
        <v>44745</v>
      </c>
      <c r="D1402" s="1">
        <v>44855</v>
      </c>
      <c r="E1402">
        <v>76935.38</v>
      </c>
      <c r="F1402">
        <f t="shared" si="64"/>
        <v>2022</v>
      </c>
      <c r="G1402">
        <f t="shared" si="65"/>
        <v>2022</v>
      </c>
      <c r="H1402">
        <f t="shared" si="63"/>
        <v>0</v>
      </c>
    </row>
    <row r="1403" spans="1:8" x14ac:dyDescent="0.25">
      <c r="A1403" t="s">
        <v>2274</v>
      </c>
      <c r="B1403" s="1">
        <v>44566</v>
      </c>
      <c r="C1403" s="1">
        <v>44602</v>
      </c>
      <c r="D1403" s="1">
        <v>44939</v>
      </c>
      <c r="E1403">
        <v>5064.32</v>
      </c>
      <c r="F1403">
        <f t="shared" si="64"/>
        <v>2022</v>
      </c>
      <c r="G1403">
        <f t="shared" si="65"/>
        <v>2023</v>
      </c>
      <c r="H1403">
        <f t="shared" si="63"/>
        <v>1</v>
      </c>
    </row>
    <row r="1404" spans="1:8" x14ac:dyDescent="0.25">
      <c r="A1404" t="s">
        <v>2791</v>
      </c>
      <c r="B1404" s="1">
        <v>44714</v>
      </c>
      <c r="C1404" s="1">
        <v>44773</v>
      </c>
      <c r="D1404" s="1">
        <v>44886</v>
      </c>
      <c r="E1404">
        <v>14129.5</v>
      </c>
      <c r="F1404">
        <f t="shared" si="64"/>
        <v>2022</v>
      </c>
      <c r="G1404">
        <f t="shared" si="65"/>
        <v>2022</v>
      </c>
      <c r="H1404">
        <f t="shared" si="63"/>
        <v>0</v>
      </c>
    </row>
    <row r="1405" spans="1:8" x14ac:dyDescent="0.25">
      <c r="A1405" t="s">
        <v>2174</v>
      </c>
      <c r="B1405" s="1">
        <v>44367</v>
      </c>
      <c r="C1405" s="1">
        <v>44372</v>
      </c>
      <c r="D1405" s="1">
        <v>44670</v>
      </c>
      <c r="E1405">
        <v>52772.01</v>
      </c>
      <c r="F1405">
        <f t="shared" si="64"/>
        <v>2021</v>
      </c>
      <c r="G1405">
        <f t="shared" si="65"/>
        <v>2022</v>
      </c>
      <c r="H1405">
        <f t="shared" si="63"/>
        <v>1</v>
      </c>
    </row>
    <row r="1406" spans="1:8" x14ac:dyDescent="0.25">
      <c r="A1406" t="s">
        <v>2506</v>
      </c>
      <c r="B1406" s="1">
        <v>44441</v>
      </c>
      <c r="C1406" s="1">
        <v>44476</v>
      </c>
      <c r="D1406" s="1">
        <v>44531</v>
      </c>
      <c r="E1406">
        <v>66838.13</v>
      </c>
      <c r="F1406">
        <f t="shared" si="64"/>
        <v>2021</v>
      </c>
      <c r="G1406">
        <f t="shared" si="65"/>
        <v>2021</v>
      </c>
      <c r="H1406">
        <f t="shared" si="63"/>
        <v>0</v>
      </c>
    </row>
    <row r="1407" spans="1:8" x14ac:dyDescent="0.25">
      <c r="A1407" t="s">
        <v>2829</v>
      </c>
      <c r="B1407" s="1">
        <v>44565</v>
      </c>
      <c r="C1407" s="1">
        <v>44625</v>
      </c>
      <c r="D1407" s="1">
        <v>44766</v>
      </c>
      <c r="E1407">
        <v>63710.98</v>
      </c>
      <c r="F1407">
        <f t="shared" si="64"/>
        <v>2022</v>
      </c>
      <c r="G1407">
        <f t="shared" si="65"/>
        <v>2022</v>
      </c>
      <c r="H1407">
        <f t="shared" si="63"/>
        <v>0</v>
      </c>
    </row>
    <row r="1408" spans="1:8" x14ac:dyDescent="0.25">
      <c r="A1408" t="s">
        <v>2662</v>
      </c>
      <c r="B1408" s="1">
        <v>45513</v>
      </c>
      <c r="C1408" s="1">
        <v>45550</v>
      </c>
      <c r="D1408" s="1">
        <v>45774</v>
      </c>
      <c r="E1408">
        <v>71819.570000000007</v>
      </c>
      <c r="F1408">
        <f t="shared" si="64"/>
        <v>2024</v>
      </c>
      <c r="G1408">
        <f t="shared" si="65"/>
        <v>2025</v>
      </c>
      <c r="H1408">
        <f t="shared" si="63"/>
        <v>1</v>
      </c>
    </row>
    <row r="1409" spans="1:8" x14ac:dyDescent="0.25">
      <c r="A1409" t="s">
        <v>2830</v>
      </c>
      <c r="B1409" s="1">
        <v>44405</v>
      </c>
      <c r="C1409" s="1">
        <v>44417</v>
      </c>
      <c r="D1409" s="1">
        <v>44583</v>
      </c>
      <c r="E1409">
        <v>30100.05</v>
      </c>
      <c r="F1409">
        <f t="shared" si="64"/>
        <v>2021</v>
      </c>
      <c r="G1409">
        <f t="shared" si="65"/>
        <v>2022</v>
      </c>
      <c r="H1409">
        <f t="shared" si="63"/>
        <v>1</v>
      </c>
    </row>
    <row r="1410" spans="1:8" x14ac:dyDescent="0.25">
      <c r="A1410" t="s">
        <v>2831</v>
      </c>
      <c r="B1410" s="1">
        <v>45127</v>
      </c>
      <c r="C1410" s="1">
        <v>45131</v>
      </c>
      <c r="D1410" s="1">
        <v>45111</v>
      </c>
      <c r="E1410">
        <v>23960.17</v>
      </c>
      <c r="F1410">
        <f t="shared" si="64"/>
        <v>2023</v>
      </c>
      <c r="G1410">
        <f t="shared" si="65"/>
        <v>2023</v>
      </c>
      <c r="H1410">
        <f t="shared" ref="H1410:H1473" si="66">MAX(0,G1410-F1410)</f>
        <v>0</v>
      </c>
    </row>
    <row r="1411" spans="1:8" x14ac:dyDescent="0.25">
      <c r="A1411" t="s">
        <v>2219</v>
      </c>
      <c r="B1411" s="1">
        <v>44609</v>
      </c>
      <c r="C1411" s="1">
        <v>44658</v>
      </c>
      <c r="D1411" s="1">
        <v>44838</v>
      </c>
      <c r="E1411">
        <v>5805.94</v>
      </c>
      <c r="F1411">
        <f t="shared" ref="F1411:F1474" si="67">YEAR(B1411)</f>
        <v>2022</v>
      </c>
      <c r="G1411">
        <f t="shared" ref="G1411:G1474" si="68">YEAR(D1411)</f>
        <v>2022</v>
      </c>
      <c r="H1411">
        <f t="shared" si="66"/>
        <v>0</v>
      </c>
    </row>
    <row r="1412" spans="1:8" x14ac:dyDescent="0.25">
      <c r="A1412" t="s">
        <v>2475</v>
      </c>
      <c r="B1412" s="1">
        <v>44103</v>
      </c>
      <c r="C1412" s="1">
        <v>44128</v>
      </c>
      <c r="D1412" s="1">
        <v>44769</v>
      </c>
      <c r="E1412">
        <v>8123.94</v>
      </c>
      <c r="F1412">
        <f t="shared" si="67"/>
        <v>2020</v>
      </c>
      <c r="G1412">
        <f t="shared" si="68"/>
        <v>2022</v>
      </c>
      <c r="H1412">
        <f t="shared" si="66"/>
        <v>2</v>
      </c>
    </row>
    <row r="1413" spans="1:8" x14ac:dyDescent="0.25">
      <c r="A1413" t="s">
        <v>2757</v>
      </c>
      <c r="B1413" s="1">
        <v>43877</v>
      </c>
      <c r="C1413" s="1">
        <v>43898</v>
      </c>
      <c r="D1413" s="1">
        <v>44327</v>
      </c>
      <c r="E1413">
        <v>41544.39</v>
      </c>
      <c r="F1413">
        <f t="shared" si="67"/>
        <v>2020</v>
      </c>
      <c r="G1413">
        <f t="shared" si="68"/>
        <v>2021</v>
      </c>
      <c r="H1413">
        <f t="shared" si="66"/>
        <v>1</v>
      </c>
    </row>
    <row r="1414" spans="1:8" x14ac:dyDescent="0.25">
      <c r="A1414" t="s">
        <v>2270</v>
      </c>
      <c r="B1414" s="1">
        <v>43883</v>
      </c>
      <c r="C1414" s="1">
        <v>43902</v>
      </c>
      <c r="D1414" s="1">
        <v>44134</v>
      </c>
      <c r="E1414">
        <v>-22992.720000000001</v>
      </c>
      <c r="F1414">
        <f t="shared" si="67"/>
        <v>2020</v>
      </c>
      <c r="G1414">
        <f t="shared" si="68"/>
        <v>2020</v>
      </c>
      <c r="H1414">
        <f t="shared" si="66"/>
        <v>0</v>
      </c>
    </row>
    <row r="1415" spans="1:8" x14ac:dyDescent="0.25">
      <c r="A1415" t="s">
        <v>2477</v>
      </c>
      <c r="B1415" s="1">
        <v>45089</v>
      </c>
      <c r="C1415" s="1">
        <v>45149</v>
      </c>
      <c r="D1415" s="1">
        <v>45224</v>
      </c>
      <c r="E1415">
        <v>60427.040000000001</v>
      </c>
      <c r="F1415">
        <f t="shared" si="67"/>
        <v>2023</v>
      </c>
      <c r="G1415">
        <f t="shared" si="68"/>
        <v>2023</v>
      </c>
      <c r="H1415">
        <f t="shared" si="66"/>
        <v>0</v>
      </c>
    </row>
    <row r="1416" spans="1:8" x14ac:dyDescent="0.25">
      <c r="A1416" t="s">
        <v>2254</v>
      </c>
      <c r="B1416" s="1">
        <v>44035</v>
      </c>
      <c r="C1416" s="1">
        <v>44101</v>
      </c>
      <c r="D1416" s="1">
        <v>44164</v>
      </c>
      <c r="E1416">
        <v>48712.3</v>
      </c>
      <c r="F1416">
        <f t="shared" si="67"/>
        <v>2020</v>
      </c>
      <c r="G1416">
        <f t="shared" si="68"/>
        <v>2020</v>
      </c>
      <c r="H1416">
        <f t="shared" si="66"/>
        <v>0</v>
      </c>
    </row>
    <row r="1417" spans="1:8" x14ac:dyDescent="0.25">
      <c r="A1417" t="s">
        <v>2702</v>
      </c>
      <c r="B1417" s="1">
        <v>45256</v>
      </c>
      <c r="C1417" s="1">
        <v>45322</v>
      </c>
      <c r="D1417" s="1">
        <v>45733</v>
      </c>
      <c r="E1417">
        <v>9721.15</v>
      </c>
      <c r="F1417">
        <f t="shared" si="67"/>
        <v>2023</v>
      </c>
      <c r="G1417">
        <f t="shared" si="68"/>
        <v>2025</v>
      </c>
      <c r="H1417">
        <f t="shared" si="66"/>
        <v>2</v>
      </c>
    </row>
    <row r="1418" spans="1:8" x14ac:dyDescent="0.25">
      <c r="A1418" t="s">
        <v>2775</v>
      </c>
      <c r="B1418" s="1">
        <v>43979</v>
      </c>
      <c r="C1418" s="1">
        <v>43980</v>
      </c>
      <c r="D1418" s="1">
        <v>44164</v>
      </c>
      <c r="E1418">
        <v>77431.62</v>
      </c>
      <c r="F1418">
        <f t="shared" si="67"/>
        <v>2020</v>
      </c>
      <c r="G1418">
        <f t="shared" si="68"/>
        <v>2020</v>
      </c>
      <c r="H1418">
        <f t="shared" si="66"/>
        <v>0</v>
      </c>
    </row>
    <row r="1419" spans="1:8" x14ac:dyDescent="0.25">
      <c r="A1419" t="s">
        <v>2832</v>
      </c>
      <c r="B1419" s="1">
        <v>44011</v>
      </c>
      <c r="C1419" s="1">
        <v>44051</v>
      </c>
      <c r="D1419" s="1">
        <v>44160</v>
      </c>
      <c r="E1419">
        <v>73291.98</v>
      </c>
      <c r="F1419">
        <f t="shared" si="67"/>
        <v>2020</v>
      </c>
      <c r="G1419">
        <f t="shared" si="68"/>
        <v>2020</v>
      </c>
      <c r="H1419">
        <f t="shared" si="66"/>
        <v>0</v>
      </c>
    </row>
    <row r="1420" spans="1:8" x14ac:dyDescent="0.25">
      <c r="A1420" t="s">
        <v>2226</v>
      </c>
      <c r="B1420" s="1">
        <v>44573</v>
      </c>
      <c r="C1420" s="1">
        <v>44603</v>
      </c>
      <c r="D1420" s="1">
        <v>45034</v>
      </c>
      <c r="E1420">
        <v>83969.14</v>
      </c>
      <c r="F1420">
        <f t="shared" si="67"/>
        <v>2022</v>
      </c>
      <c r="G1420">
        <f t="shared" si="68"/>
        <v>2023</v>
      </c>
      <c r="H1420">
        <f t="shared" si="66"/>
        <v>1</v>
      </c>
    </row>
    <row r="1421" spans="1:8" x14ac:dyDescent="0.25">
      <c r="A1421" t="s">
        <v>2618</v>
      </c>
      <c r="B1421" s="1">
        <v>44564</v>
      </c>
      <c r="C1421" s="1">
        <v>44616</v>
      </c>
      <c r="D1421" s="1">
        <v>45234</v>
      </c>
      <c r="E1421">
        <v>50759.41</v>
      </c>
      <c r="F1421">
        <f t="shared" si="67"/>
        <v>2022</v>
      </c>
      <c r="G1421">
        <f t="shared" si="68"/>
        <v>2023</v>
      </c>
      <c r="H1421">
        <f t="shared" si="66"/>
        <v>1</v>
      </c>
    </row>
    <row r="1422" spans="1:8" x14ac:dyDescent="0.25">
      <c r="A1422" t="s">
        <v>2670</v>
      </c>
      <c r="B1422" s="1">
        <v>45115</v>
      </c>
      <c r="C1422" s="1">
        <v>45156</v>
      </c>
      <c r="D1422" s="1">
        <v>45581</v>
      </c>
      <c r="E1422">
        <v>67026.45</v>
      </c>
      <c r="F1422">
        <f t="shared" si="67"/>
        <v>2023</v>
      </c>
      <c r="G1422">
        <f t="shared" si="68"/>
        <v>2024</v>
      </c>
      <c r="H1422">
        <f t="shared" si="66"/>
        <v>1</v>
      </c>
    </row>
    <row r="1423" spans="1:8" x14ac:dyDescent="0.25">
      <c r="A1423" t="s">
        <v>2257</v>
      </c>
      <c r="B1423" s="1">
        <v>44744</v>
      </c>
      <c r="C1423" s="1">
        <v>44781</v>
      </c>
      <c r="D1423" s="1">
        <v>45163</v>
      </c>
      <c r="E1423">
        <v>73519.39</v>
      </c>
      <c r="F1423">
        <f t="shared" si="67"/>
        <v>2022</v>
      </c>
      <c r="G1423">
        <f t="shared" si="68"/>
        <v>2023</v>
      </c>
      <c r="H1423">
        <f t="shared" si="66"/>
        <v>1</v>
      </c>
    </row>
    <row r="1424" spans="1:8" x14ac:dyDescent="0.25">
      <c r="A1424" t="s">
        <v>2833</v>
      </c>
      <c r="B1424" s="1">
        <v>43960</v>
      </c>
      <c r="C1424" s="1">
        <v>44037</v>
      </c>
      <c r="D1424" s="1">
        <v>44156</v>
      </c>
      <c r="E1424">
        <v>24231.15</v>
      </c>
      <c r="F1424">
        <f t="shared" si="67"/>
        <v>2020</v>
      </c>
      <c r="G1424">
        <f t="shared" si="68"/>
        <v>2020</v>
      </c>
      <c r="H1424">
        <f t="shared" si="66"/>
        <v>0</v>
      </c>
    </row>
    <row r="1425" spans="1:8" x14ac:dyDescent="0.25">
      <c r="A1425" t="s">
        <v>2171</v>
      </c>
      <c r="B1425" s="1">
        <v>43997</v>
      </c>
      <c r="C1425" s="1">
        <v>44082</v>
      </c>
      <c r="D1425" s="1">
        <v>44482</v>
      </c>
      <c r="E1425">
        <v>57392.01</v>
      </c>
      <c r="F1425">
        <f t="shared" si="67"/>
        <v>2020</v>
      </c>
      <c r="G1425">
        <f t="shared" si="68"/>
        <v>2021</v>
      </c>
      <c r="H1425">
        <f t="shared" si="66"/>
        <v>1</v>
      </c>
    </row>
    <row r="1426" spans="1:8" x14ac:dyDescent="0.25">
      <c r="A1426" t="s">
        <v>2512</v>
      </c>
      <c r="B1426" s="1">
        <v>44561</v>
      </c>
      <c r="C1426" s="1">
        <v>44569</v>
      </c>
      <c r="D1426" s="1">
        <v>44807</v>
      </c>
      <c r="E1426">
        <v>24707.919999999998</v>
      </c>
      <c r="F1426">
        <f t="shared" si="67"/>
        <v>2021</v>
      </c>
      <c r="G1426">
        <f t="shared" si="68"/>
        <v>2022</v>
      </c>
      <c r="H1426">
        <f t="shared" si="66"/>
        <v>1</v>
      </c>
    </row>
    <row r="1427" spans="1:8" x14ac:dyDescent="0.25">
      <c r="A1427" t="s">
        <v>2533</v>
      </c>
      <c r="B1427" s="1">
        <v>44305</v>
      </c>
      <c r="C1427" s="1">
        <v>44380</v>
      </c>
      <c r="D1427" s="1">
        <v>44683</v>
      </c>
      <c r="E1427">
        <v>60728.05</v>
      </c>
      <c r="F1427">
        <f t="shared" si="67"/>
        <v>2021</v>
      </c>
      <c r="G1427">
        <f t="shared" si="68"/>
        <v>2022</v>
      </c>
      <c r="H1427">
        <f t="shared" si="66"/>
        <v>1</v>
      </c>
    </row>
    <row r="1428" spans="1:8" x14ac:dyDescent="0.25">
      <c r="A1428" t="s">
        <v>2283</v>
      </c>
      <c r="B1428" s="1">
        <v>43843</v>
      </c>
      <c r="C1428" s="1">
        <v>43896</v>
      </c>
      <c r="D1428" s="1">
        <v>44169</v>
      </c>
      <c r="E1428">
        <v>54738.52</v>
      </c>
      <c r="F1428">
        <f t="shared" si="67"/>
        <v>2020</v>
      </c>
      <c r="G1428">
        <f t="shared" si="68"/>
        <v>2020</v>
      </c>
      <c r="H1428">
        <f t="shared" si="66"/>
        <v>0</v>
      </c>
    </row>
    <row r="1429" spans="1:8" x14ac:dyDescent="0.25">
      <c r="A1429" t="s">
        <v>2357</v>
      </c>
      <c r="B1429" s="1">
        <v>45139</v>
      </c>
      <c r="C1429" s="1">
        <v>45217</v>
      </c>
      <c r="D1429" s="1">
        <v>45727</v>
      </c>
      <c r="E1429">
        <v>57227.66</v>
      </c>
      <c r="F1429">
        <f t="shared" si="67"/>
        <v>2023</v>
      </c>
      <c r="G1429">
        <f t="shared" si="68"/>
        <v>2025</v>
      </c>
      <c r="H1429">
        <f t="shared" si="66"/>
        <v>2</v>
      </c>
    </row>
    <row r="1430" spans="1:8" x14ac:dyDescent="0.25">
      <c r="A1430" t="s">
        <v>2599</v>
      </c>
      <c r="B1430" s="1">
        <v>44310</v>
      </c>
      <c r="C1430" s="1">
        <v>44327</v>
      </c>
      <c r="D1430" s="1">
        <v>44406</v>
      </c>
      <c r="E1430">
        <v>64538.99</v>
      </c>
      <c r="F1430">
        <f t="shared" si="67"/>
        <v>2021</v>
      </c>
      <c r="G1430">
        <f t="shared" si="68"/>
        <v>2021</v>
      </c>
      <c r="H1430">
        <f t="shared" si="66"/>
        <v>0</v>
      </c>
    </row>
    <row r="1431" spans="1:8" x14ac:dyDescent="0.25">
      <c r="A1431" t="s">
        <v>2772</v>
      </c>
      <c r="B1431" s="1">
        <v>44072</v>
      </c>
      <c r="C1431" s="1">
        <v>44129</v>
      </c>
      <c r="D1431" s="1">
        <v>44494</v>
      </c>
      <c r="E1431">
        <v>22375.77</v>
      </c>
      <c r="F1431">
        <f t="shared" si="67"/>
        <v>2020</v>
      </c>
      <c r="G1431">
        <f t="shared" si="68"/>
        <v>2021</v>
      </c>
      <c r="H1431">
        <f t="shared" si="66"/>
        <v>1</v>
      </c>
    </row>
    <row r="1432" spans="1:8" x14ac:dyDescent="0.25">
      <c r="A1432" t="s">
        <v>2834</v>
      </c>
      <c r="B1432" s="1">
        <v>45354</v>
      </c>
      <c r="C1432" s="1">
        <v>45392</v>
      </c>
      <c r="D1432" s="1">
        <v>45550</v>
      </c>
      <c r="E1432">
        <v>64759.02</v>
      </c>
      <c r="F1432">
        <f t="shared" si="67"/>
        <v>2024</v>
      </c>
      <c r="G1432">
        <f t="shared" si="68"/>
        <v>2024</v>
      </c>
      <c r="H1432">
        <f t="shared" si="66"/>
        <v>0</v>
      </c>
    </row>
    <row r="1433" spans="1:8" x14ac:dyDescent="0.25">
      <c r="A1433" t="s">
        <v>2835</v>
      </c>
      <c r="B1433" s="1">
        <v>45637</v>
      </c>
      <c r="C1433" s="1">
        <v>45713</v>
      </c>
      <c r="D1433" s="1">
        <v>45728</v>
      </c>
      <c r="E1433">
        <v>40586.379999999997</v>
      </c>
      <c r="F1433">
        <f t="shared" si="67"/>
        <v>2024</v>
      </c>
      <c r="G1433">
        <f t="shared" si="68"/>
        <v>2025</v>
      </c>
      <c r="H1433">
        <f t="shared" si="66"/>
        <v>1</v>
      </c>
    </row>
    <row r="1434" spans="1:8" x14ac:dyDescent="0.25">
      <c r="A1434" t="s">
        <v>2428</v>
      </c>
      <c r="B1434" s="1">
        <v>44781</v>
      </c>
      <c r="C1434" s="1">
        <v>44848</v>
      </c>
      <c r="D1434" s="1">
        <v>44995</v>
      </c>
      <c r="E1434">
        <v>-1315.66</v>
      </c>
      <c r="F1434">
        <f t="shared" si="67"/>
        <v>2022</v>
      </c>
      <c r="G1434">
        <f t="shared" si="68"/>
        <v>2023</v>
      </c>
      <c r="H1434">
        <f t="shared" si="66"/>
        <v>1</v>
      </c>
    </row>
    <row r="1435" spans="1:8" x14ac:dyDescent="0.25">
      <c r="A1435" t="s">
        <v>2674</v>
      </c>
      <c r="B1435" s="1">
        <v>44367</v>
      </c>
      <c r="C1435" s="1">
        <v>44435</v>
      </c>
      <c r="D1435" s="1">
        <v>44864</v>
      </c>
      <c r="E1435">
        <v>79022.3</v>
      </c>
      <c r="F1435">
        <f t="shared" si="67"/>
        <v>2021</v>
      </c>
      <c r="G1435">
        <f t="shared" si="68"/>
        <v>2022</v>
      </c>
      <c r="H1435">
        <f t="shared" si="66"/>
        <v>1</v>
      </c>
    </row>
    <row r="1436" spans="1:8" x14ac:dyDescent="0.25">
      <c r="A1436" t="s">
        <v>2231</v>
      </c>
      <c r="B1436" s="1">
        <v>44420</v>
      </c>
      <c r="C1436" s="1">
        <v>44441</v>
      </c>
      <c r="D1436" s="1">
        <v>44791</v>
      </c>
      <c r="E1436">
        <v>18955.78</v>
      </c>
      <c r="F1436">
        <f t="shared" si="67"/>
        <v>2021</v>
      </c>
      <c r="G1436">
        <f t="shared" si="68"/>
        <v>2022</v>
      </c>
      <c r="H1436">
        <f t="shared" si="66"/>
        <v>1</v>
      </c>
    </row>
    <row r="1437" spans="1:8" x14ac:dyDescent="0.25">
      <c r="A1437" t="s">
        <v>2836</v>
      </c>
      <c r="B1437" s="1">
        <v>44457</v>
      </c>
      <c r="C1437" s="1">
        <v>44493</v>
      </c>
      <c r="D1437" s="1">
        <v>44759</v>
      </c>
      <c r="E1437">
        <v>21576.52</v>
      </c>
      <c r="F1437">
        <f t="shared" si="67"/>
        <v>2021</v>
      </c>
      <c r="G1437">
        <f t="shared" si="68"/>
        <v>2022</v>
      </c>
      <c r="H1437">
        <f t="shared" si="66"/>
        <v>1</v>
      </c>
    </row>
    <row r="1438" spans="1:8" x14ac:dyDescent="0.25">
      <c r="A1438" t="s">
        <v>2388</v>
      </c>
      <c r="B1438" s="1">
        <v>43935</v>
      </c>
      <c r="C1438" s="1">
        <v>43951</v>
      </c>
      <c r="D1438" s="1">
        <v>44248</v>
      </c>
      <c r="E1438">
        <v>-18478.400000000001</v>
      </c>
      <c r="F1438">
        <f t="shared" si="67"/>
        <v>2020</v>
      </c>
      <c r="G1438">
        <f t="shared" si="68"/>
        <v>2021</v>
      </c>
      <c r="H1438">
        <f t="shared" si="66"/>
        <v>1</v>
      </c>
    </row>
    <row r="1439" spans="1:8" x14ac:dyDescent="0.25">
      <c r="A1439" t="s">
        <v>2189</v>
      </c>
      <c r="B1439" s="1">
        <v>44823</v>
      </c>
      <c r="C1439" s="1">
        <v>44909</v>
      </c>
      <c r="D1439" s="1">
        <v>45275</v>
      </c>
      <c r="E1439">
        <v>8280.39</v>
      </c>
      <c r="F1439">
        <f t="shared" si="67"/>
        <v>2022</v>
      </c>
      <c r="G1439">
        <f t="shared" si="68"/>
        <v>2023</v>
      </c>
      <c r="H1439">
        <f t="shared" si="66"/>
        <v>1</v>
      </c>
    </row>
    <row r="1440" spans="1:8" x14ac:dyDescent="0.25">
      <c r="A1440" t="s">
        <v>2625</v>
      </c>
      <c r="B1440" s="1">
        <v>44997</v>
      </c>
      <c r="C1440" s="1">
        <v>45034</v>
      </c>
      <c r="D1440" s="1">
        <v>45227</v>
      </c>
      <c r="E1440">
        <v>38514.03</v>
      </c>
      <c r="F1440">
        <f t="shared" si="67"/>
        <v>2023</v>
      </c>
      <c r="G1440">
        <f t="shared" si="68"/>
        <v>2023</v>
      </c>
      <c r="H1440">
        <f t="shared" si="66"/>
        <v>0</v>
      </c>
    </row>
    <row r="1441" spans="1:8" x14ac:dyDescent="0.25">
      <c r="A1441" t="s">
        <v>2441</v>
      </c>
      <c r="B1441" s="1">
        <v>45211</v>
      </c>
      <c r="C1441" s="1">
        <v>45291</v>
      </c>
      <c r="D1441" s="1">
        <v>45424</v>
      </c>
      <c r="E1441">
        <v>47225.16</v>
      </c>
      <c r="F1441">
        <f t="shared" si="67"/>
        <v>2023</v>
      </c>
      <c r="G1441">
        <f t="shared" si="68"/>
        <v>2024</v>
      </c>
      <c r="H1441">
        <f t="shared" si="66"/>
        <v>1</v>
      </c>
    </row>
    <row r="1442" spans="1:8" x14ac:dyDescent="0.25">
      <c r="A1442" t="s">
        <v>2833</v>
      </c>
      <c r="B1442" s="1">
        <v>43960</v>
      </c>
      <c r="C1442" s="1">
        <v>44037</v>
      </c>
      <c r="D1442" s="1">
        <v>44539</v>
      </c>
      <c r="E1442">
        <v>52446.65</v>
      </c>
      <c r="F1442">
        <f t="shared" si="67"/>
        <v>2020</v>
      </c>
      <c r="G1442">
        <f t="shared" si="68"/>
        <v>2021</v>
      </c>
      <c r="H1442">
        <f t="shared" si="66"/>
        <v>1</v>
      </c>
    </row>
    <row r="1443" spans="1:8" x14ac:dyDescent="0.25">
      <c r="A1443" t="s">
        <v>2307</v>
      </c>
      <c r="B1443" s="1">
        <v>44227</v>
      </c>
      <c r="C1443" s="1">
        <v>44278</v>
      </c>
      <c r="D1443" s="1">
        <v>44381</v>
      </c>
      <c r="E1443">
        <v>9859.24</v>
      </c>
      <c r="F1443">
        <f t="shared" si="67"/>
        <v>2021</v>
      </c>
      <c r="G1443">
        <f t="shared" si="68"/>
        <v>2021</v>
      </c>
      <c r="H1443">
        <f t="shared" si="66"/>
        <v>0</v>
      </c>
    </row>
    <row r="1444" spans="1:8" x14ac:dyDescent="0.25">
      <c r="A1444" t="s">
        <v>2704</v>
      </c>
      <c r="B1444" s="1">
        <v>45457</v>
      </c>
      <c r="C1444" s="1">
        <v>45540</v>
      </c>
      <c r="D1444" s="1">
        <v>45724</v>
      </c>
      <c r="E1444">
        <v>21434.89</v>
      </c>
      <c r="F1444">
        <f t="shared" si="67"/>
        <v>2024</v>
      </c>
      <c r="G1444">
        <f t="shared" si="68"/>
        <v>2025</v>
      </c>
      <c r="H1444">
        <f t="shared" si="66"/>
        <v>1</v>
      </c>
    </row>
    <row r="1445" spans="1:8" x14ac:dyDescent="0.25">
      <c r="A1445" t="s">
        <v>2622</v>
      </c>
      <c r="B1445" s="1">
        <v>43922</v>
      </c>
      <c r="C1445" s="1">
        <v>43992</v>
      </c>
      <c r="D1445" s="1">
        <v>44182</v>
      </c>
      <c r="E1445">
        <v>-24904.99</v>
      </c>
      <c r="F1445">
        <f t="shared" si="67"/>
        <v>2020</v>
      </c>
      <c r="G1445">
        <f t="shared" si="68"/>
        <v>2020</v>
      </c>
      <c r="H1445">
        <f t="shared" si="66"/>
        <v>0</v>
      </c>
    </row>
    <row r="1446" spans="1:8" x14ac:dyDescent="0.25">
      <c r="A1446" t="s">
        <v>2836</v>
      </c>
      <c r="B1446" s="1">
        <v>44457</v>
      </c>
      <c r="C1446" s="1">
        <v>44493</v>
      </c>
      <c r="D1446" s="1">
        <v>44627</v>
      </c>
      <c r="E1446">
        <v>-15916.62</v>
      </c>
      <c r="F1446">
        <f t="shared" si="67"/>
        <v>2021</v>
      </c>
      <c r="G1446">
        <f t="shared" si="68"/>
        <v>2022</v>
      </c>
      <c r="H1446">
        <f t="shared" si="66"/>
        <v>1</v>
      </c>
    </row>
    <row r="1447" spans="1:8" x14ac:dyDescent="0.25">
      <c r="A1447" t="s">
        <v>2346</v>
      </c>
      <c r="B1447" s="1">
        <v>44138</v>
      </c>
      <c r="C1447" s="1">
        <v>44216</v>
      </c>
      <c r="D1447" s="1">
        <v>44667</v>
      </c>
      <c r="E1447">
        <v>61205.74</v>
      </c>
      <c r="F1447">
        <f t="shared" si="67"/>
        <v>2020</v>
      </c>
      <c r="G1447">
        <f t="shared" si="68"/>
        <v>2022</v>
      </c>
      <c r="H1447">
        <f t="shared" si="66"/>
        <v>2</v>
      </c>
    </row>
    <row r="1448" spans="1:8" x14ac:dyDescent="0.25">
      <c r="A1448" t="s">
        <v>2775</v>
      </c>
      <c r="B1448" s="1">
        <v>43979</v>
      </c>
      <c r="C1448" s="1">
        <v>43980</v>
      </c>
      <c r="D1448" s="1">
        <v>44389</v>
      </c>
      <c r="E1448">
        <v>16947.52</v>
      </c>
      <c r="F1448">
        <f t="shared" si="67"/>
        <v>2020</v>
      </c>
      <c r="G1448">
        <f t="shared" si="68"/>
        <v>2021</v>
      </c>
      <c r="H1448">
        <f t="shared" si="66"/>
        <v>1</v>
      </c>
    </row>
    <row r="1449" spans="1:8" x14ac:dyDescent="0.25">
      <c r="A1449" t="s">
        <v>2772</v>
      </c>
      <c r="B1449" s="1">
        <v>44072</v>
      </c>
      <c r="C1449" s="1">
        <v>44129</v>
      </c>
      <c r="D1449" s="1">
        <v>44365</v>
      </c>
      <c r="E1449">
        <v>33399.72</v>
      </c>
      <c r="F1449">
        <f t="shared" si="67"/>
        <v>2020</v>
      </c>
      <c r="G1449">
        <f t="shared" si="68"/>
        <v>2021</v>
      </c>
      <c r="H1449">
        <f t="shared" si="66"/>
        <v>1</v>
      </c>
    </row>
    <row r="1450" spans="1:8" x14ac:dyDescent="0.25">
      <c r="A1450" t="s">
        <v>2141</v>
      </c>
      <c r="B1450" s="1">
        <v>45065</v>
      </c>
      <c r="C1450" s="1">
        <v>45117</v>
      </c>
      <c r="D1450" s="1">
        <v>45345</v>
      </c>
      <c r="E1450">
        <v>64867.15</v>
      </c>
      <c r="F1450">
        <f t="shared" si="67"/>
        <v>2023</v>
      </c>
      <c r="G1450">
        <f t="shared" si="68"/>
        <v>2024</v>
      </c>
      <c r="H1450">
        <f t="shared" si="66"/>
        <v>1</v>
      </c>
    </row>
    <row r="1451" spans="1:8" x14ac:dyDescent="0.25">
      <c r="A1451" t="s">
        <v>2343</v>
      </c>
      <c r="B1451" s="1">
        <v>44526</v>
      </c>
      <c r="D1451" s="1">
        <v>45162</v>
      </c>
      <c r="E1451">
        <v>12896.26</v>
      </c>
      <c r="F1451">
        <f t="shared" si="67"/>
        <v>2021</v>
      </c>
      <c r="G1451">
        <f t="shared" si="68"/>
        <v>2023</v>
      </c>
      <c r="H1451">
        <f t="shared" si="66"/>
        <v>2</v>
      </c>
    </row>
    <row r="1452" spans="1:8" x14ac:dyDescent="0.25">
      <c r="A1452" t="s">
        <v>2793</v>
      </c>
      <c r="B1452" s="1">
        <v>44104</v>
      </c>
      <c r="C1452" s="1">
        <v>44153</v>
      </c>
      <c r="D1452" s="1">
        <v>44254</v>
      </c>
      <c r="E1452">
        <v>56429.68</v>
      </c>
      <c r="F1452">
        <f t="shared" si="67"/>
        <v>2020</v>
      </c>
      <c r="G1452">
        <f t="shared" si="68"/>
        <v>2021</v>
      </c>
      <c r="H1452">
        <f t="shared" si="66"/>
        <v>1</v>
      </c>
    </row>
    <row r="1453" spans="1:8" x14ac:dyDescent="0.25">
      <c r="A1453" t="s">
        <v>2837</v>
      </c>
      <c r="B1453" s="1">
        <v>44367</v>
      </c>
      <c r="C1453" s="1">
        <v>44450</v>
      </c>
      <c r="D1453" s="1">
        <v>44479</v>
      </c>
      <c r="E1453">
        <v>-12424.76</v>
      </c>
      <c r="F1453">
        <f t="shared" si="67"/>
        <v>2021</v>
      </c>
      <c r="G1453">
        <f t="shared" si="68"/>
        <v>2021</v>
      </c>
      <c r="H1453">
        <f t="shared" si="66"/>
        <v>0</v>
      </c>
    </row>
    <row r="1454" spans="1:8" x14ac:dyDescent="0.25">
      <c r="A1454" t="s">
        <v>2612</v>
      </c>
      <c r="B1454" s="1">
        <v>45392</v>
      </c>
      <c r="C1454" s="1">
        <v>45462</v>
      </c>
      <c r="D1454" s="1">
        <v>45667</v>
      </c>
      <c r="E1454">
        <v>5746.13</v>
      </c>
      <c r="F1454">
        <f t="shared" si="67"/>
        <v>2024</v>
      </c>
      <c r="G1454">
        <f t="shared" si="68"/>
        <v>2025</v>
      </c>
      <c r="H1454">
        <f t="shared" si="66"/>
        <v>1</v>
      </c>
    </row>
    <row r="1455" spans="1:8" x14ac:dyDescent="0.25">
      <c r="A1455" t="s">
        <v>2616</v>
      </c>
      <c r="B1455" s="1">
        <v>44334</v>
      </c>
      <c r="C1455" s="1">
        <v>44350</v>
      </c>
      <c r="D1455" s="1">
        <v>44596</v>
      </c>
      <c r="E1455">
        <v>20262.16</v>
      </c>
      <c r="F1455">
        <f t="shared" si="67"/>
        <v>2021</v>
      </c>
      <c r="G1455">
        <f t="shared" si="68"/>
        <v>2022</v>
      </c>
      <c r="H1455">
        <f t="shared" si="66"/>
        <v>1</v>
      </c>
    </row>
    <row r="1456" spans="1:8" x14ac:dyDescent="0.25">
      <c r="A1456" t="s">
        <v>2363</v>
      </c>
      <c r="B1456" s="1">
        <v>44676</v>
      </c>
      <c r="C1456" s="1">
        <v>44715</v>
      </c>
      <c r="D1456" s="1">
        <v>45125</v>
      </c>
      <c r="E1456">
        <v>28070.69</v>
      </c>
      <c r="F1456">
        <f t="shared" si="67"/>
        <v>2022</v>
      </c>
      <c r="G1456">
        <f t="shared" si="68"/>
        <v>2023</v>
      </c>
      <c r="H1456">
        <f t="shared" si="66"/>
        <v>1</v>
      </c>
    </row>
    <row r="1457" spans="1:8" x14ac:dyDescent="0.25">
      <c r="A1457" t="s">
        <v>2203</v>
      </c>
      <c r="B1457" s="1">
        <v>45488</v>
      </c>
      <c r="C1457" s="1">
        <v>45557</v>
      </c>
      <c r="D1457" s="1">
        <v>45764</v>
      </c>
      <c r="E1457">
        <v>-12147.83</v>
      </c>
      <c r="F1457">
        <f t="shared" si="67"/>
        <v>2024</v>
      </c>
      <c r="G1457">
        <f t="shared" si="68"/>
        <v>2025</v>
      </c>
      <c r="H1457">
        <f t="shared" si="66"/>
        <v>1</v>
      </c>
    </row>
    <row r="1458" spans="1:8" x14ac:dyDescent="0.25">
      <c r="A1458" t="s">
        <v>2469</v>
      </c>
      <c r="B1458" s="1">
        <v>44075</v>
      </c>
      <c r="C1458" s="1">
        <v>44145</v>
      </c>
      <c r="D1458" s="1">
        <v>44307</v>
      </c>
      <c r="E1458">
        <v>3703.5</v>
      </c>
      <c r="F1458">
        <f t="shared" si="67"/>
        <v>2020</v>
      </c>
      <c r="G1458">
        <f t="shared" si="68"/>
        <v>2021</v>
      </c>
      <c r="H1458">
        <f t="shared" si="66"/>
        <v>1</v>
      </c>
    </row>
    <row r="1459" spans="1:8" x14ac:dyDescent="0.25">
      <c r="A1459" t="s">
        <v>2838</v>
      </c>
      <c r="B1459" s="1">
        <v>44912</v>
      </c>
      <c r="C1459" s="1">
        <v>44975</v>
      </c>
      <c r="D1459" s="1">
        <v>45030</v>
      </c>
      <c r="E1459">
        <v>75667.070000000007</v>
      </c>
      <c r="F1459">
        <f t="shared" si="67"/>
        <v>2022</v>
      </c>
      <c r="G1459">
        <f t="shared" si="68"/>
        <v>2023</v>
      </c>
      <c r="H1459">
        <f t="shared" si="66"/>
        <v>1</v>
      </c>
    </row>
    <row r="1460" spans="1:8" x14ac:dyDescent="0.25">
      <c r="A1460" t="s">
        <v>2392</v>
      </c>
      <c r="B1460" s="1">
        <v>45220</v>
      </c>
      <c r="C1460" s="1">
        <v>45271</v>
      </c>
      <c r="D1460" s="1">
        <v>45563</v>
      </c>
      <c r="E1460">
        <v>10949.52</v>
      </c>
      <c r="F1460">
        <f t="shared" si="67"/>
        <v>2023</v>
      </c>
      <c r="G1460">
        <f t="shared" si="68"/>
        <v>2024</v>
      </c>
      <c r="H1460">
        <f t="shared" si="66"/>
        <v>1</v>
      </c>
    </row>
    <row r="1461" spans="1:8" x14ac:dyDescent="0.25">
      <c r="A1461" t="s">
        <v>2762</v>
      </c>
      <c r="B1461" s="1">
        <v>44194</v>
      </c>
      <c r="C1461" s="1">
        <v>44213</v>
      </c>
      <c r="D1461" s="1">
        <v>44840</v>
      </c>
      <c r="E1461">
        <v>62702.85</v>
      </c>
      <c r="F1461">
        <f t="shared" si="67"/>
        <v>2020</v>
      </c>
      <c r="G1461">
        <f t="shared" si="68"/>
        <v>2022</v>
      </c>
      <c r="H1461">
        <f t="shared" si="66"/>
        <v>2</v>
      </c>
    </row>
    <row r="1462" spans="1:8" x14ac:dyDescent="0.25">
      <c r="A1462" t="s">
        <v>2511</v>
      </c>
      <c r="B1462" s="1">
        <v>44953</v>
      </c>
      <c r="D1462" s="1">
        <v>45359</v>
      </c>
      <c r="E1462">
        <v>22020.32</v>
      </c>
      <c r="F1462">
        <f t="shared" si="67"/>
        <v>2023</v>
      </c>
      <c r="G1462">
        <f t="shared" si="68"/>
        <v>2024</v>
      </c>
      <c r="H1462">
        <f t="shared" si="66"/>
        <v>1</v>
      </c>
    </row>
    <row r="1463" spans="1:8" x14ac:dyDescent="0.25">
      <c r="A1463" t="s">
        <v>2623</v>
      </c>
      <c r="B1463" s="1">
        <v>45051</v>
      </c>
      <c r="C1463" s="1">
        <v>45137</v>
      </c>
      <c r="D1463" s="1">
        <v>45565</v>
      </c>
      <c r="E1463">
        <v>18171.990000000002</v>
      </c>
      <c r="F1463">
        <f t="shared" si="67"/>
        <v>2023</v>
      </c>
      <c r="G1463">
        <f t="shared" si="68"/>
        <v>2024</v>
      </c>
      <c r="H1463">
        <f t="shared" si="66"/>
        <v>1</v>
      </c>
    </row>
    <row r="1464" spans="1:8" x14ac:dyDescent="0.25">
      <c r="A1464" t="s">
        <v>2280</v>
      </c>
      <c r="B1464" s="1">
        <v>44387</v>
      </c>
      <c r="C1464" s="1">
        <v>44414</v>
      </c>
      <c r="D1464" s="1">
        <v>44786</v>
      </c>
      <c r="E1464">
        <v>81482.460000000006</v>
      </c>
      <c r="F1464">
        <f t="shared" si="67"/>
        <v>2021</v>
      </c>
      <c r="G1464">
        <f t="shared" si="68"/>
        <v>2022</v>
      </c>
      <c r="H1464">
        <f t="shared" si="66"/>
        <v>1</v>
      </c>
    </row>
    <row r="1465" spans="1:8" x14ac:dyDescent="0.25">
      <c r="A1465" t="s">
        <v>2691</v>
      </c>
      <c r="B1465" s="1">
        <v>44101</v>
      </c>
      <c r="C1465" s="1">
        <v>44144</v>
      </c>
      <c r="D1465" s="1">
        <v>44543</v>
      </c>
      <c r="E1465">
        <v>52284.67</v>
      </c>
      <c r="F1465">
        <f t="shared" si="67"/>
        <v>2020</v>
      </c>
      <c r="G1465">
        <f t="shared" si="68"/>
        <v>2021</v>
      </c>
      <c r="H1465">
        <f t="shared" si="66"/>
        <v>1</v>
      </c>
    </row>
    <row r="1466" spans="1:8" x14ac:dyDescent="0.25">
      <c r="A1466" t="s">
        <v>2404</v>
      </c>
      <c r="B1466" s="1">
        <v>44813</v>
      </c>
      <c r="C1466" s="1">
        <v>44842</v>
      </c>
      <c r="D1466" s="1">
        <v>45265</v>
      </c>
      <c r="E1466">
        <v>3478.46</v>
      </c>
      <c r="F1466">
        <f t="shared" si="67"/>
        <v>2022</v>
      </c>
      <c r="G1466">
        <f t="shared" si="68"/>
        <v>2023</v>
      </c>
      <c r="H1466">
        <f t="shared" si="66"/>
        <v>1</v>
      </c>
    </row>
    <row r="1467" spans="1:8" x14ac:dyDescent="0.25">
      <c r="A1467" t="s">
        <v>2839</v>
      </c>
      <c r="B1467" s="1">
        <v>44061</v>
      </c>
      <c r="C1467" s="1">
        <v>44135</v>
      </c>
      <c r="D1467" s="1">
        <v>44181</v>
      </c>
      <c r="E1467">
        <v>-21741.83</v>
      </c>
      <c r="F1467">
        <f t="shared" si="67"/>
        <v>2020</v>
      </c>
      <c r="G1467">
        <f t="shared" si="68"/>
        <v>2020</v>
      </c>
      <c r="H1467">
        <f t="shared" si="66"/>
        <v>0</v>
      </c>
    </row>
    <row r="1468" spans="1:8" x14ac:dyDescent="0.25">
      <c r="A1468" t="s">
        <v>2382</v>
      </c>
      <c r="B1468" s="1">
        <v>44800</v>
      </c>
      <c r="C1468" s="1">
        <v>44889</v>
      </c>
      <c r="D1468" s="1">
        <v>45029</v>
      </c>
      <c r="E1468">
        <v>33970.78</v>
      </c>
      <c r="F1468">
        <f t="shared" si="67"/>
        <v>2022</v>
      </c>
      <c r="G1468">
        <f t="shared" si="68"/>
        <v>2023</v>
      </c>
      <c r="H1468">
        <f t="shared" si="66"/>
        <v>1</v>
      </c>
    </row>
    <row r="1469" spans="1:8" x14ac:dyDescent="0.25">
      <c r="A1469" t="s">
        <v>2329</v>
      </c>
      <c r="B1469" s="1">
        <v>44401</v>
      </c>
      <c r="C1469" s="1">
        <v>44423</v>
      </c>
      <c r="D1469" s="1">
        <v>44594</v>
      </c>
      <c r="E1469">
        <v>-18538.25</v>
      </c>
      <c r="F1469">
        <f t="shared" si="67"/>
        <v>2021</v>
      </c>
      <c r="G1469">
        <f t="shared" si="68"/>
        <v>2022</v>
      </c>
      <c r="H1469">
        <f t="shared" si="66"/>
        <v>1</v>
      </c>
    </row>
    <row r="1470" spans="1:8" x14ac:dyDescent="0.25">
      <c r="A1470" t="s">
        <v>2288</v>
      </c>
      <c r="B1470" s="1">
        <v>44699</v>
      </c>
      <c r="C1470" s="1">
        <v>44717</v>
      </c>
      <c r="D1470" s="1">
        <v>44842</v>
      </c>
      <c r="E1470">
        <v>83966.47</v>
      </c>
      <c r="F1470">
        <f t="shared" si="67"/>
        <v>2022</v>
      </c>
      <c r="G1470">
        <f t="shared" si="68"/>
        <v>2022</v>
      </c>
      <c r="H1470">
        <f t="shared" si="66"/>
        <v>0</v>
      </c>
    </row>
    <row r="1471" spans="1:8" x14ac:dyDescent="0.25">
      <c r="A1471" t="s">
        <v>2520</v>
      </c>
      <c r="B1471" s="1">
        <v>44742</v>
      </c>
      <c r="C1471" s="1">
        <v>44793</v>
      </c>
      <c r="D1471" s="1">
        <v>45014</v>
      </c>
      <c r="E1471">
        <v>13364.66</v>
      </c>
      <c r="F1471">
        <f t="shared" si="67"/>
        <v>2022</v>
      </c>
      <c r="G1471">
        <f t="shared" si="68"/>
        <v>2023</v>
      </c>
      <c r="H1471">
        <f t="shared" si="66"/>
        <v>1</v>
      </c>
    </row>
    <row r="1472" spans="1:8" x14ac:dyDescent="0.25">
      <c r="A1472" t="s">
        <v>2565</v>
      </c>
      <c r="B1472" s="1">
        <v>44491</v>
      </c>
      <c r="C1472" s="1">
        <v>44549</v>
      </c>
      <c r="D1472" s="1">
        <v>44603</v>
      </c>
      <c r="E1472">
        <v>80703.53</v>
      </c>
      <c r="F1472">
        <f t="shared" si="67"/>
        <v>2021</v>
      </c>
      <c r="G1472">
        <f t="shared" si="68"/>
        <v>2022</v>
      </c>
      <c r="H1472">
        <f t="shared" si="66"/>
        <v>1</v>
      </c>
    </row>
    <row r="1473" spans="1:8" x14ac:dyDescent="0.25">
      <c r="A1473" t="s">
        <v>2801</v>
      </c>
      <c r="B1473" s="1">
        <v>44671</v>
      </c>
      <c r="C1473" s="1">
        <v>44736</v>
      </c>
      <c r="D1473" s="1">
        <v>44766</v>
      </c>
      <c r="E1473">
        <v>59585.69</v>
      </c>
      <c r="F1473">
        <f t="shared" si="67"/>
        <v>2022</v>
      </c>
      <c r="G1473">
        <f t="shared" si="68"/>
        <v>2022</v>
      </c>
      <c r="H1473">
        <f t="shared" si="66"/>
        <v>0</v>
      </c>
    </row>
    <row r="1474" spans="1:8" x14ac:dyDescent="0.25">
      <c r="A1474" t="s">
        <v>2425</v>
      </c>
      <c r="B1474" s="1">
        <v>44829</v>
      </c>
      <c r="C1474" s="1">
        <v>44854</v>
      </c>
      <c r="D1474" s="1">
        <v>45014</v>
      </c>
      <c r="E1474">
        <v>70274.559999999998</v>
      </c>
      <c r="F1474">
        <f t="shared" si="67"/>
        <v>2022</v>
      </c>
      <c r="G1474">
        <f t="shared" si="68"/>
        <v>2023</v>
      </c>
      <c r="H1474">
        <f t="shared" ref="H1474:H1537" si="69">MAX(0,G1474-F1474)</f>
        <v>1</v>
      </c>
    </row>
    <row r="1475" spans="1:8" x14ac:dyDescent="0.25">
      <c r="A1475" t="s">
        <v>2597</v>
      </c>
      <c r="B1475" s="1">
        <v>44294</v>
      </c>
      <c r="C1475" s="1">
        <v>44296</v>
      </c>
      <c r="D1475" s="1">
        <v>44323</v>
      </c>
      <c r="E1475">
        <v>64794.720000000001</v>
      </c>
      <c r="F1475">
        <f t="shared" ref="F1475:F1538" si="70">YEAR(B1475)</f>
        <v>2021</v>
      </c>
      <c r="G1475">
        <f t="shared" ref="G1475:G1538" si="71">YEAR(D1475)</f>
        <v>2021</v>
      </c>
      <c r="H1475">
        <f t="shared" si="69"/>
        <v>0</v>
      </c>
    </row>
    <row r="1476" spans="1:8" x14ac:dyDescent="0.25">
      <c r="A1476" t="s">
        <v>2246</v>
      </c>
      <c r="B1476" s="1">
        <v>44830</v>
      </c>
      <c r="C1476" s="1">
        <v>44847</v>
      </c>
      <c r="D1476" s="1">
        <v>45219</v>
      </c>
      <c r="E1476">
        <v>26580.880000000001</v>
      </c>
      <c r="F1476">
        <f t="shared" si="70"/>
        <v>2022</v>
      </c>
      <c r="G1476">
        <f t="shared" si="71"/>
        <v>2023</v>
      </c>
      <c r="H1476">
        <f t="shared" si="69"/>
        <v>1</v>
      </c>
    </row>
    <row r="1477" spans="1:8" x14ac:dyDescent="0.25">
      <c r="A1477" t="s">
        <v>2556</v>
      </c>
      <c r="B1477" s="1">
        <v>45090</v>
      </c>
      <c r="C1477" s="1">
        <v>45156</v>
      </c>
      <c r="D1477" s="1">
        <v>45279</v>
      </c>
      <c r="E1477">
        <v>-4659.67</v>
      </c>
      <c r="F1477">
        <f t="shared" si="70"/>
        <v>2023</v>
      </c>
      <c r="G1477">
        <f t="shared" si="71"/>
        <v>2023</v>
      </c>
      <c r="H1477">
        <f t="shared" si="69"/>
        <v>0</v>
      </c>
    </row>
    <row r="1478" spans="1:8" x14ac:dyDescent="0.25">
      <c r="A1478" t="s">
        <v>2471</v>
      </c>
      <c r="B1478" s="1">
        <v>44489</v>
      </c>
      <c r="C1478" s="1">
        <v>44552</v>
      </c>
      <c r="D1478" s="1">
        <v>44859</v>
      </c>
      <c r="E1478">
        <v>52637.42</v>
      </c>
      <c r="F1478">
        <f t="shared" si="70"/>
        <v>2021</v>
      </c>
      <c r="G1478">
        <f t="shared" si="71"/>
        <v>2022</v>
      </c>
      <c r="H1478">
        <f t="shared" si="69"/>
        <v>1</v>
      </c>
    </row>
    <row r="1479" spans="1:8" x14ac:dyDescent="0.25">
      <c r="A1479" t="s">
        <v>2496</v>
      </c>
      <c r="B1479" s="1">
        <v>44687</v>
      </c>
      <c r="C1479" s="1">
        <v>44738</v>
      </c>
      <c r="D1479" s="1">
        <v>45129</v>
      </c>
      <c r="E1479">
        <v>47594.6</v>
      </c>
      <c r="F1479">
        <f t="shared" si="70"/>
        <v>2022</v>
      </c>
      <c r="G1479">
        <f t="shared" si="71"/>
        <v>2023</v>
      </c>
      <c r="H1479">
        <f t="shared" si="69"/>
        <v>1</v>
      </c>
    </row>
    <row r="1480" spans="1:8" x14ac:dyDescent="0.25">
      <c r="A1480" t="s">
        <v>2840</v>
      </c>
      <c r="B1480" s="1">
        <v>45458</v>
      </c>
      <c r="C1480" s="1">
        <v>45539</v>
      </c>
      <c r="D1480" s="1">
        <v>45736</v>
      </c>
      <c r="E1480">
        <v>26566.36</v>
      </c>
      <c r="F1480">
        <f t="shared" si="70"/>
        <v>2024</v>
      </c>
      <c r="G1480">
        <f t="shared" si="71"/>
        <v>2025</v>
      </c>
      <c r="H1480">
        <f t="shared" si="69"/>
        <v>1</v>
      </c>
    </row>
    <row r="1481" spans="1:8" x14ac:dyDescent="0.25">
      <c r="A1481" t="s">
        <v>2160</v>
      </c>
      <c r="B1481" s="1">
        <v>44984</v>
      </c>
      <c r="C1481" s="1">
        <v>45053</v>
      </c>
      <c r="D1481" s="1">
        <v>45415</v>
      </c>
      <c r="E1481">
        <v>12511.31</v>
      </c>
      <c r="F1481">
        <f t="shared" si="70"/>
        <v>2023</v>
      </c>
      <c r="G1481">
        <f t="shared" si="71"/>
        <v>2024</v>
      </c>
      <c r="H1481">
        <f t="shared" si="69"/>
        <v>1</v>
      </c>
    </row>
    <row r="1482" spans="1:8" x14ac:dyDescent="0.25">
      <c r="A1482" t="s">
        <v>2484</v>
      </c>
      <c r="B1482" s="1">
        <v>45290</v>
      </c>
      <c r="C1482" s="1">
        <v>45310</v>
      </c>
      <c r="D1482" s="1">
        <v>45555</v>
      </c>
      <c r="E1482">
        <v>-6901.12</v>
      </c>
      <c r="F1482">
        <f t="shared" si="70"/>
        <v>2023</v>
      </c>
      <c r="G1482">
        <f t="shared" si="71"/>
        <v>2024</v>
      </c>
      <c r="H1482">
        <f t="shared" si="69"/>
        <v>1</v>
      </c>
    </row>
    <row r="1483" spans="1:8" x14ac:dyDescent="0.25">
      <c r="A1483" t="s">
        <v>2767</v>
      </c>
      <c r="B1483" s="1">
        <v>45080</v>
      </c>
      <c r="C1483" s="1">
        <v>45090</v>
      </c>
      <c r="D1483" s="1">
        <v>45252</v>
      </c>
      <c r="E1483">
        <v>55217.279999999999</v>
      </c>
      <c r="F1483">
        <f t="shared" si="70"/>
        <v>2023</v>
      </c>
      <c r="G1483">
        <f t="shared" si="71"/>
        <v>2023</v>
      </c>
      <c r="H1483">
        <f t="shared" si="69"/>
        <v>0</v>
      </c>
    </row>
    <row r="1484" spans="1:8" x14ac:dyDescent="0.25">
      <c r="A1484" t="s">
        <v>2403</v>
      </c>
      <c r="B1484" s="1">
        <v>43958</v>
      </c>
      <c r="C1484" s="1">
        <v>43982</v>
      </c>
      <c r="D1484" s="1">
        <v>44463</v>
      </c>
      <c r="E1484">
        <v>15267.47</v>
      </c>
      <c r="F1484">
        <f t="shared" si="70"/>
        <v>2020</v>
      </c>
      <c r="G1484">
        <f t="shared" si="71"/>
        <v>2021</v>
      </c>
      <c r="H1484">
        <f t="shared" si="69"/>
        <v>1</v>
      </c>
    </row>
    <row r="1485" spans="1:8" x14ac:dyDescent="0.25">
      <c r="A1485" t="s">
        <v>2235</v>
      </c>
      <c r="B1485" s="1">
        <v>43854</v>
      </c>
      <c r="C1485" s="1">
        <v>43896</v>
      </c>
      <c r="D1485" s="1">
        <v>44223</v>
      </c>
      <c r="E1485">
        <v>43766.44</v>
      </c>
      <c r="F1485">
        <f t="shared" si="70"/>
        <v>2020</v>
      </c>
      <c r="G1485">
        <f t="shared" si="71"/>
        <v>2021</v>
      </c>
      <c r="H1485">
        <f t="shared" si="69"/>
        <v>1</v>
      </c>
    </row>
    <row r="1486" spans="1:8" x14ac:dyDescent="0.25">
      <c r="A1486" t="s">
        <v>2667</v>
      </c>
      <c r="B1486" s="1">
        <v>44126</v>
      </c>
      <c r="C1486" s="1">
        <v>44170</v>
      </c>
      <c r="D1486" s="1">
        <v>44788</v>
      </c>
      <c r="E1486">
        <v>62793.52</v>
      </c>
      <c r="F1486">
        <f t="shared" si="70"/>
        <v>2020</v>
      </c>
      <c r="G1486">
        <f t="shared" si="71"/>
        <v>2022</v>
      </c>
      <c r="H1486">
        <f t="shared" si="69"/>
        <v>2</v>
      </c>
    </row>
    <row r="1487" spans="1:8" x14ac:dyDescent="0.25">
      <c r="A1487" t="s">
        <v>2841</v>
      </c>
      <c r="B1487" s="1">
        <v>44117</v>
      </c>
      <c r="C1487" s="1">
        <v>44125</v>
      </c>
      <c r="D1487" s="1">
        <v>44259</v>
      </c>
      <c r="E1487">
        <v>48792.65</v>
      </c>
      <c r="F1487">
        <f t="shared" si="70"/>
        <v>2020</v>
      </c>
      <c r="G1487">
        <f t="shared" si="71"/>
        <v>2021</v>
      </c>
      <c r="H1487">
        <f t="shared" si="69"/>
        <v>1</v>
      </c>
    </row>
    <row r="1488" spans="1:8" x14ac:dyDescent="0.25">
      <c r="A1488" t="s">
        <v>2350</v>
      </c>
      <c r="B1488" s="1">
        <v>44097</v>
      </c>
      <c r="C1488" s="1">
        <v>44179</v>
      </c>
      <c r="D1488" s="1">
        <v>44668</v>
      </c>
      <c r="E1488">
        <v>46850.74</v>
      </c>
      <c r="F1488">
        <f t="shared" si="70"/>
        <v>2020</v>
      </c>
      <c r="G1488">
        <f t="shared" si="71"/>
        <v>2022</v>
      </c>
      <c r="H1488">
        <f t="shared" si="69"/>
        <v>2</v>
      </c>
    </row>
    <row r="1489" spans="1:8" x14ac:dyDescent="0.25">
      <c r="A1489" t="s">
        <v>2542</v>
      </c>
      <c r="B1489" s="1">
        <v>44605</v>
      </c>
      <c r="C1489" s="1">
        <v>44631</v>
      </c>
      <c r="D1489" s="1">
        <v>44842</v>
      </c>
      <c r="E1489">
        <v>26316.6</v>
      </c>
      <c r="F1489">
        <f t="shared" si="70"/>
        <v>2022</v>
      </c>
      <c r="G1489">
        <f t="shared" si="71"/>
        <v>2022</v>
      </c>
      <c r="H1489">
        <f t="shared" si="69"/>
        <v>0</v>
      </c>
    </row>
    <row r="1490" spans="1:8" x14ac:dyDescent="0.25">
      <c r="A1490" t="s">
        <v>2842</v>
      </c>
      <c r="B1490" s="1">
        <v>45537</v>
      </c>
      <c r="C1490" s="1">
        <v>45549</v>
      </c>
      <c r="D1490" s="1">
        <v>45641</v>
      </c>
      <c r="E1490">
        <v>51288.61</v>
      </c>
      <c r="F1490">
        <f t="shared" si="70"/>
        <v>2024</v>
      </c>
      <c r="G1490">
        <f t="shared" si="71"/>
        <v>2024</v>
      </c>
      <c r="H1490">
        <f t="shared" si="69"/>
        <v>0</v>
      </c>
    </row>
    <row r="1491" spans="1:8" x14ac:dyDescent="0.25">
      <c r="A1491" t="s">
        <v>2689</v>
      </c>
      <c r="B1491" s="1">
        <v>44448</v>
      </c>
      <c r="C1491" s="1">
        <v>44480</v>
      </c>
      <c r="D1491" s="1">
        <v>44683</v>
      </c>
      <c r="E1491">
        <v>65970.02</v>
      </c>
      <c r="F1491">
        <f t="shared" si="70"/>
        <v>2021</v>
      </c>
      <c r="G1491">
        <f t="shared" si="71"/>
        <v>2022</v>
      </c>
      <c r="H1491">
        <f t="shared" si="69"/>
        <v>1</v>
      </c>
    </row>
    <row r="1492" spans="1:8" x14ac:dyDescent="0.25">
      <c r="A1492" t="s">
        <v>2773</v>
      </c>
      <c r="B1492" s="1">
        <v>44222</v>
      </c>
      <c r="C1492" s="1">
        <v>44260</v>
      </c>
      <c r="D1492" s="1">
        <v>44294</v>
      </c>
      <c r="E1492">
        <v>67662.64</v>
      </c>
      <c r="F1492">
        <f t="shared" si="70"/>
        <v>2021</v>
      </c>
      <c r="G1492">
        <f t="shared" si="71"/>
        <v>2021</v>
      </c>
      <c r="H1492">
        <f t="shared" si="69"/>
        <v>0</v>
      </c>
    </row>
    <row r="1493" spans="1:8" x14ac:dyDescent="0.25">
      <c r="A1493" t="s">
        <v>2208</v>
      </c>
      <c r="B1493" s="1">
        <v>44368</v>
      </c>
      <c r="D1493" s="1">
        <v>44475</v>
      </c>
      <c r="E1493">
        <v>44467.53</v>
      </c>
      <c r="F1493">
        <f t="shared" si="70"/>
        <v>2021</v>
      </c>
      <c r="G1493">
        <f t="shared" si="71"/>
        <v>2021</v>
      </c>
      <c r="H1493">
        <f t="shared" si="69"/>
        <v>0</v>
      </c>
    </row>
    <row r="1494" spans="1:8" x14ac:dyDescent="0.25">
      <c r="A1494" t="s">
        <v>2282</v>
      </c>
      <c r="B1494" s="1">
        <v>44418</v>
      </c>
      <c r="C1494" s="1">
        <v>44459</v>
      </c>
      <c r="D1494" s="1">
        <v>44508</v>
      </c>
      <c r="E1494">
        <v>36286.89</v>
      </c>
      <c r="F1494">
        <f t="shared" si="70"/>
        <v>2021</v>
      </c>
      <c r="G1494">
        <f t="shared" si="71"/>
        <v>2021</v>
      </c>
      <c r="H1494">
        <f t="shared" si="69"/>
        <v>0</v>
      </c>
    </row>
    <row r="1495" spans="1:8" x14ac:dyDescent="0.25">
      <c r="A1495" t="s">
        <v>2813</v>
      </c>
      <c r="B1495" s="1">
        <v>44768</v>
      </c>
      <c r="C1495" s="1">
        <v>44772</v>
      </c>
      <c r="D1495" s="1">
        <v>44934</v>
      </c>
      <c r="E1495">
        <v>40375.57</v>
      </c>
      <c r="F1495">
        <f t="shared" si="70"/>
        <v>2022</v>
      </c>
      <c r="G1495">
        <f t="shared" si="71"/>
        <v>2023</v>
      </c>
      <c r="H1495">
        <f t="shared" si="69"/>
        <v>1</v>
      </c>
    </row>
    <row r="1496" spans="1:8" x14ac:dyDescent="0.25">
      <c r="A1496" t="s">
        <v>2712</v>
      </c>
      <c r="B1496" s="1">
        <v>44894</v>
      </c>
      <c r="C1496" s="1">
        <v>44930</v>
      </c>
      <c r="D1496" s="1">
        <v>45124</v>
      </c>
      <c r="E1496">
        <v>29950.959999999999</v>
      </c>
      <c r="F1496">
        <f t="shared" si="70"/>
        <v>2022</v>
      </c>
      <c r="G1496">
        <f t="shared" si="71"/>
        <v>2023</v>
      </c>
      <c r="H1496">
        <f t="shared" si="69"/>
        <v>1</v>
      </c>
    </row>
    <row r="1497" spans="1:8" x14ac:dyDescent="0.25">
      <c r="A1497" t="s">
        <v>2843</v>
      </c>
      <c r="B1497" s="1">
        <v>44526</v>
      </c>
      <c r="C1497" s="1">
        <v>44568</v>
      </c>
      <c r="D1497" s="1">
        <v>44737</v>
      </c>
      <c r="E1497">
        <v>20041.990000000002</v>
      </c>
      <c r="F1497">
        <f t="shared" si="70"/>
        <v>2021</v>
      </c>
      <c r="G1497">
        <f t="shared" si="71"/>
        <v>2022</v>
      </c>
      <c r="H1497">
        <f t="shared" si="69"/>
        <v>1</v>
      </c>
    </row>
    <row r="1498" spans="1:8" x14ac:dyDescent="0.25">
      <c r="A1498" t="s">
        <v>2741</v>
      </c>
      <c r="B1498" s="1">
        <v>44906</v>
      </c>
      <c r="C1498" s="1">
        <v>44984</v>
      </c>
      <c r="D1498" s="1">
        <v>45305</v>
      </c>
      <c r="E1498">
        <v>66639.789999999994</v>
      </c>
      <c r="F1498">
        <f t="shared" si="70"/>
        <v>2022</v>
      </c>
      <c r="G1498">
        <f t="shared" si="71"/>
        <v>2024</v>
      </c>
      <c r="H1498">
        <f t="shared" si="69"/>
        <v>2</v>
      </c>
    </row>
    <row r="1499" spans="1:8" x14ac:dyDescent="0.25">
      <c r="A1499" t="s">
        <v>2844</v>
      </c>
      <c r="B1499" s="1">
        <v>44473</v>
      </c>
      <c r="C1499" s="1">
        <v>44559</v>
      </c>
      <c r="D1499" s="1">
        <v>44683</v>
      </c>
      <c r="E1499">
        <v>-10546.04</v>
      </c>
      <c r="F1499">
        <f t="shared" si="70"/>
        <v>2021</v>
      </c>
      <c r="G1499">
        <f t="shared" si="71"/>
        <v>2022</v>
      </c>
      <c r="H1499">
        <f t="shared" si="69"/>
        <v>1</v>
      </c>
    </row>
    <row r="1500" spans="1:8" x14ac:dyDescent="0.25">
      <c r="A1500" t="s">
        <v>2845</v>
      </c>
      <c r="B1500" s="1">
        <v>44241</v>
      </c>
      <c r="C1500" s="1">
        <v>44301</v>
      </c>
      <c r="D1500" s="1">
        <v>44544</v>
      </c>
      <c r="E1500">
        <v>30500.080000000002</v>
      </c>
      <c r="F1500">
        <f t="shared" si="70"/>
        <v>2021</v>
      </c>
      <c r="G1500">
        <f t="shared" si="71"/>
        <v>2021</v>
      </c>
      <c r="H1500">
        <f t="shared" si="69"/>
        <v>0</v>
      </c>
    </row>
    <row r="1501" spans="1:8" x14ac:dyDescent="0.25">
      <c r="A1501" t="s">
        <v>2412</v>
      </c>
      <c r="B1501" s="1">
        <v>43926</v>
      </c>
      <c r="C1501" s="1">
        <v>43982</v>
      </c>
      <c r="D1501" s="1">
        <v>44663</v>
      </c>
      <c r="E1501">
        <v>46777.84</v>
      </c>
      <c r="F1501">
        <f t="shared" si="70"/>
        <v>2020</v>
      </c>
      <c r="G1501">
        <f t="shared" si="71"/>
        <v>2022</v>
      </c>
      <c r="H1501">
        <f t="shared" si="69"/>
        <v>2</v>
      </c>
    </row>
    <row r="1502" spans="1:8" x14ac:dyDescent="0.25">
      <c r="A1502" t="s">
        <v>2505</v>
      </c>
      <c r="B1502" s="1">
        <v>45007</v>
      </c>
      <c r="C1502" s="1">
        <v>45020</v>
      </c>
      <c r="D1502" s="1">
        <v>45159</v>
      </c>
      <c r="E1502">
        <v>84405.26</v>
      </c>
      <c r="F1502">
        <f t="shared" si="70"/>
        <v>2023</v>
      </c>
      <c r="G1502">
        <f t="shared" si="71"/>
        <v>2023</v>
      </c>
      <c r="H1502">
        <f t="shared" si="69"/>
        <v>0</v>
      </c>
    </row>
    <row r="1503" spans="1:8" x14ac:dyDescent="0.25">
      <c r="A1503" t="s">
        <v>2299</v>
      </c>
      <c r="B1503" s="1">
        <v>44586</v>
      </c>
      <c r="C1503" s="1">
        <v>44606</v>
      </c>
      <c r="D1503" s="1">
        <v>44766</v>
      </c>
      <c r="E1503">
        <v>70328.33</v>
      </c>
      <c r="F1503">
        <f t="shared" si="70"/>
        <v>2022</v>
      </c>
      <c r="G1503">
        <f t="shared" si="71"/>
        <v>2022</v>
      </c>
      <c r="H1503">
        <f t="shared" si="69"/>
        <v>0</v>
      </c>
    </row>
    <row r="1504" spans="1:8" x14ac:dyDescent="0.25">
      <c r="A1504" t="s">
        <v>2820</v>
      </c>
      <c r="B1504" s="1">
        <v>44735</v>
      </c>
      <c r="C1504" s="1">
        <v>44777</v>
      </c>
      <c r="D1504" s="1">
        <v>44888</v>
      </c>
      <c r="E1504">
        <v>64885.56</v>
      </c>
      <c r="F1504">
        <f t="shared" si="70"/>
        <v>2022</v>
      </c>
      <c r="G1504">
        <f t="shared" si="71"/>
        <v>2022</v>
      </c>
      <c r="H1504">
        <f t="shared" si="69"/>
        <v>0</v>
      </c>
    </row>
    <row r="1505" spans="1:8" x14ac:dyDescent="0.25">
      <c r="A1505" t="s">
        <v>2202</v>
      </c>
      <c r="B1505" s="1">
        <v>44303</v>
      </c>
      <c r="C1505" s="1">
        <v>44383</v>
      </c>
      <c r="D1505" s="1">
        <v>44514</v>
      </c>
      <c r="E1505">
        <v>69731.649999999994</v>
      </c>
      <c r="F1505">
        <f t="shared" si="70"/>
        <v>2021</v>
      </c>
      <c r="G1505">
        <f t="shared" si="71"/>
        <v>2021</v>
      </c>
      <c r="H1505">
        <f t="shared" si="69"/>
        <v>0</v>
      </c>
    </row>
    <row r="1506" spans="1:8" x14ac:dyDescent="0.25">
      <c r="A1506" t="s">
        <v>2760</v>
      </c>
      <c r="B1506" s="1">
        <v>45087</v>
      </c>
      <c r="C1506" s="1">
        <v>45172</v>
      </c>
      <c r="D1506" s="1">
        <v>45402</v>
      </c>
      <c r="E1506">
        <v>78919.87</v>
      </c>
      <c r="F1506">
        <f t="shared" si="70"/>
        <v>2023</v>
      </c>
      <c r="G1506">
        <f t="shared" si="71"/>
        <v>2024</v>
      </c>
      <c r="H1506">
        <f t="shared" si="69"/>
        <v>1</v>
      </c>
    </row>
    <row r="1507" spans="1:8" x14ac:dyDescent="0.25">
      <c r="A1507" t="s">
        <v>2491</v>
      </c>
      <c r="B1507" s="1">
        <v>45313</v>
      </c>
      <c r="C1507" s="1">
        <v>45335</v>
      </c>
      <c r="D1507" s="1">
        <v>45665</v>
      </c>
      <c r="E1507">
        <v>6834.68</v>
      </c>
      <c r="F1507">
        <f t="shared" si="70"/>
        <v>2024</v>
      </c>
      <c r="G1507">
        <f t="shared" si="71"/>
        <v>2025</v>
      </c>
      <c r="H1507">
        <f t="shared" si="69"/>
        <v>1</v>
      </c>
    </row>
    <row r="1508" spans="1:8" x14ac:dyDescent="0.25">
      <c r="A1508" t="s">
        <v>2846</v>
      </c>
      <c r="B1508" s="1">
        <v>44997</v>
      </c>
      <c r="C1508" s="1">
        <v>45075</v>
      </c>
      <c r="D1508" s="1">
        <v>45145</v>
      </c>
      <c r="E1508">
        <v>65836.78</v>
      </c>
      <c r="F1508">
        <f t="shared" si="70"/>
        <v>2023</v>
      </c>
      <c r="G1508">
        <f t="shared" si="71"/>
        <v>2023</v>
      </c>
      <c r="H1508">
        <f t="shared" si="69"/>
        <v>0</v>
      </c>
    </row>
    <row r="1509" spans="1:8" x14ac:dyDescent="0.25">
      <c r="A1509" t="s">
        <v>2525</v>
      </c>
      <c r="B1509" s="1">
        <v>43845</v>
      </c>
      <c r="C1509" s="1">
        <v>43874</v>
      </c>
      <c r="D1509" s="1">
        <v>44101</v>
      </c>
      <c r="E1509">
        <v>42358.58</v>
      </c>
      <c r="F1509">
        <f t="shared" si="70"/>
        <v>2020</v>
      </c>
      <c r="G1509">
        <f t="shared" si="71"/>
        <v>2020</v>
      </c>
      <c r="H1509">
        <f t="shared" si="69"/>
        <v>0</v>
      </c>
    </row>
    <row r="1510" spans="1:8" x14ac:dyDescent="0.25">
      <c r="A1510" t="s">
        <v>2847</v>
      </c>
      <c r="B1510" s="1">
        <v>44159</v>
      </c>
      <c r="C1510" s="1">
        <v>44205</v>
      </c>
      <c r="D1510" s="1">
        <v>44351</v>
      </c>
      <c r="E1510">
        <v>50404.56</v>
      </c>
      <c r="F1510">
        <f t="shared" si="70"/>
        <v>2020</v>
      </c>
      <c r="G1510">
        <f t="shared" si="71"/>
        <v>2021</v>
      </c>
      <c r="H1510">
        <f t="shared" si="69"/>
        <v>1</v>
      </c>
    </row>
    <row r="1511" spans="1:8" x14ac:dyDescent="0.25">
      <c r="A1511" t="s">
        <v>2252</v>
      </c>
      <c r="B1511" s="1">
        <v>43950</v>
      </c>
      <c r="C1511" s="1">
        <v>44010</v>
      </c>
      <c r="D1511" s="1">
        <v>44384</v>
      </c>
      <c r="E1511">
        <v>-7529.3</v>
      </c>
      <c r="F1511">
        <f t="shared" si="70"/>
        <v>2020</v>
      </c>
      <c r="G1511">
        <f t="shared" si="71"/>
        <v>2021</v>
      </c>
      <c r="H1511">
        <f t="shared" si="69"/>
        <v>1</v>
      </c>
    </row>
    <row r="1512" spans="1:8" x14ac:dyDescent="0.25">
      <c r="A1512" t="s">
        <v>2213</v>
      </c>
      <c r="B1512" s="1">
        <v>44020</v>
      </c>
      <c r="C1512" s="1">
        <v>44063</v>
      </c>
      <c r="D1512" s="1">
        <v>44554</v>
      </c>
      <c r="E1512">
        <v>51442.43</v>
      </c>
      <c r="F1512">
        <f t="shared" si="70"/>
        <v>2020</v>
      </c>
      <c r="G1512">
        <f t="shared" si="71"/>
        <v>2021</v>
      </c>
      <c r="H1512">
        <f t="shared" si="69"/>
        <v>1</v>
      </c>
    </row>
    <row r="1513" spans="1:8" x14ac:dyDescent="0.25">
      <c r="A1513" t="s">
        <v>2418</v>
      </c>
      <c r="B1513" s="1">
        <v>44198</v>
      </c>
      <c r="C1513" s="1">
        <v>44257</v>
      </c>
      <c r="D1513" s="1">
        <v>44480</v>
      </c>
      <c r="E1513">
        <v>74938.100000000006</v>
      </c>
      <c r="F1513">
        <f t="shared" si="70"/>
        <v>2021</v>
      </c>
      <c r="G1513">
        <f t="shared" si="71"/>
        <v>2021</v>
      </c>
      <c r="H1513">
        <f t="shared" si="69"/>
        <v>0</v>
      </c>
    </row>
    <row r="1514" spans="1:8" x14ac:dyDescent="0.25">
      <c r="A1514" t="s">
        <v>2192</v>
      </c>
      <c r="B1514" s="1">
        <v>43946</v>
      </c>
      <c r="C1514" s="1">
        <v>44019</v>
      </c>
      <c r="D1514" s="1">
        <v>44463</v>
      </c>
      <c r="E1514">
        <v>69692.41</v>
      </c>
      <c r="F1514">
        <f t="shared" si="70"/>
        <v>2020</v>
      </c>
      <c r="G1514">
        <f t="shared" si="71"/>
        <v>2021</v>
      </c>
      <c r="H1514">
        <f t="shared" si="69"/>
        <v>1</v>
      </c>
    </row>
    <row r="1515" spans="1:8" x14ac:dyDescent="0.25">
      <c r="A1515" t="s">
        <v>2848</v>
      </c>
      <c r="B1515" s="1">
        <v>45381</v>
      </c>
      <c r="D1515" s="1">
        <v>45514</v>
      </c>
      <c r="E1515">
        <v>42489.04</v>
      </c>
      <c r="F1515">
        <f t="shared" si="70"/>
        <v>2024</v>
      </c>
      <c r="G1515">
        <f t="shared" si="71"/>
        <v>2024</v>
      </c>
      <c r="H1515">
        <f t="shared" si="69"/>
        <v>0</v>
      </c>
    </row>
    <row r="1516" spans="1:8" x14ac:dyDescent="0.25">
      <c r="A1516" t="s">
        <v>2639</v>
      </c>
      <c r="B1516" s="1">
        <v>44409</v>
      </c>
      <c r="C1516" s="1">
        <v>44425</v>
      </c>
      <c r="D1516" s="1">
        <v>44637</v>
      </c>
      <c r="E1516">
        <v>33141.410000000003</v>
      </c>
      <c r="F1516">
        <f t="shared" si="70"/>
        <v>2021</v>
      </c>
      <c r="G1516">
        <f t="shared" si="71"/>
        <v>2022</v>
      </c>
      <c r="H1516">
        <f t="shared" si="69"/>
        <v>1</v>
      </c>
    </row>
    <row r="1517" spans="1:8" x14ac:dyDescent="0.25">
      <c r="A1517" t="s">
        <v>2202</v>
      </c>
      <c r="B1517" s="1">
        <v>44303</v>
      </c>
      <c r="C1517" s="1">
        <v>44383</v>
      </c>
      <c r="D1517" s="1">
        <v>44880</v>
      </c>
      <c r="E1517">
        <v>17318.189999999999</v>
      </c>
      <c r="F1517">
        <f t="shared" si="70"/>
        <v>2021</v>
      </c>
      <c r="G1517">
        <f t="shared" si="71"/>
        <v>2022</v>
      </c>
      <c r="H1517">
        <f t="shared" si="69"/>
        <v>1</v>
      </c>
    </row>
    <row r="1518" spans="1:8" x14ac:dyDescent="0.25">
      <c r="A1518" t="s">
        <v>2849</v>
      </c>
      <c r="B1518" s="1">
        <v>45506</v>
      </c>
      <c r="C1518" s="1">
        <v>45544</v>
      </c>
      <c r="D1518" s="1">
        <v>45600</v>
      </c>
      <c r="E1518">
        <v>32569.919999999998</v>
      </c>
      <c r="F1518">
        <f t="shared" si="70"/>
        <v>2024</v>
      </c>
      <c r="G1518">
        <f t="shared" si="71"/>
        <v>2024</v>
      </c>
      <c r="H1518">
        <f t="shared" si="69"/>
        <v>0</v>
      </c>
    </row>
    <row r="1519" spans="1:8" x14ac:dyDescent="0.25">
      <c r="A1519" t="s">
        <v>2249</v>
      </c>
      <c r="B1519" s="1">
        <v>44294</v>
      </c>
      <c r="C1519" s="1">
        <v>44304</v>
      </c>
      <c r="D1519" s="1">
        <v>44392</v>
      </c>
      <c r="E1519">
        <v>27995.49</v>
      </c>
      <c r="F1519">
        <f t="shared" si="70"/>
        <v>2021</v>
      </c>
      <c r="G1519">
        <f t="shared" si="71"/>
        <v>2021</v>
      </c>
      <c r="H1519">
        <f t="shared" si="69"/>
        <v>0</v>
      </c>
    </row>
    <row r="1520" spans="1:8" x14ac:dyDescent="0.25">
      <c r="A1520" t="s">
        <v>2808</v>
      </c>
      <c r="B1520" s="1">
        <v>43965</v>
      </c>
      <c r="C1520" s="1">
        <v>44051</v>
      </c>
      <c r="D1520" s="1">
        <v>44542</v>
      </c>
      <c r="E1520">
        <v>-14998.37</v>
      </c>
      <c r="F1520">
        <f t="shared" si="70"/>
        <v>2020</v>
      </c>
      <c r="G1520">
        <f t="shared" si="71"/>
        <v>2021</v>
      </c>
      <c r="H1520">
        <f t="shared" si="69"/>
        <v>1</v>
      </c>
    </row>
    <row r="1521" spans="1:8" x14ac:dyDescent="0.25">
      <c r="A1521" t="s">
        <v>2519</v>
      </c>
      <c r="B1521" s="1">
        <v>43982</v>
      </c>
      <c r="C1521" s="1">
        <v>44005</v>
      </c>
      <c r="D1521" s="1">
        <v>44209</v>
      </c>
      <c r="E1521">
        <v>26811.8</v>
      </c>
      <c r="F1521">
        <f t="shared" si="70"/>
        <v>2020</v>
      </c>
      <c r="G1521">
        <f t="shared" si="71"/>
        <v>2021</v>
      </c>
      <c r="H1521">
        <f t="shared" si="69"/>
        <v>1</v>
      </c>
    </row>
    <row r="1522" spans="1:8" x14ac:dyDescent="0.25">
      <c r="A1522" t="s">
        <v>2673</v>
      </c>
      <c r="B1522" s="1">
        <v>44695</v>
      </c>
      <c r="C1522" s="1">
        <v>44734</v>
      </c>
      <c r="D1522" s="1">
        <v>44807</v>
      </c>
      <c r="E1522">
        <v>58203.95</v>
      </c>
      <c r="F1522">
        <f t="shared" si="70"/>
        <v>2022</v>
      </c>
      <c r="G1522">
        <f t="shared" si="71"/>
        <v>2022</v>
      </c>
      <c r="H1522">
        <f t="shared" si="69"/>
        <v>0</v>
      </c>
    </row>
    <row r="1523" spans="1:8" x14ac:dyDescent="0.25">
      <c r="A1523" t="s">
        <v>2633</v>
      </c>
      <c r="B1523" s="1">
        <v>44375</v>
      </c>
      <c r="C1523" s="1">
        <v>44442</v>
      </c>
      <c r="D1523" s="1">
        <v>44716</v>
      </c>
      <c r="E1523">
        <v>73191.38</v>
      </c>
      <c r="F1523">
        <f t="shared" si="70"/>
        <v>2021</v>
      </c>
      <c r="G1523">
        <f t="shared" si="71"/>
        <v>2022</v>
      </c>
      <c r="H1523">
        <f t="shared" si="69"/>
        <v>1</v>
      </c>
    </row>
    <row r="1524" spans="1:8" x14ac:dyDescent="0.25">
      <c r="A1524" t="s">
        <v>2850</v>
      </c>
      <c r="B1524" s="1">
        <v>44931</v>
      </c>
      <c r="C1524" s="1">
        <v>44982</v>
      </c>
      <c r="D1524" s="1">
        <v>45017</v>
      </c>
      <c r="E1524">
        <v>18060.68</v>
      </c>
      <c r="F1524">
        <f t="shared" si="70"/>
        <v>2023</v>
      </c>
      <c r="G1524">
        <f t="shared" si="71"/>
        <v>2023</v>
      </c>
      <c r="H1524">
        <f t="shared" si="69"/>
        <v>0</v>
      </c>
    </row>
    <row r="1525" spans="1:8" x14ac:dyDescent="0.25">
      <c r="A1525" t="s">
        <v>2735</v>
      </c>
      <c r="B1525" s="1">
        <v>45470</v>
      </c>
      <c r="C1525" s="1">
        <v>45517</v>
      </c>
      <c r="D1525" s="1">
        <v>45778</v>
      </c>
      <c r="E1525">
        <v>42184.78</v>
      </c>
      <c r="F1525">
        <f t="shared" si="70"/>
        <v>2024</v>
      </c>
      <c r="G1525">
        <f t="shared" si="71"/>
        <v>2025</v>
      </c>
      <c r="H1525">
        <f t="shared" si="69"/>
        <v>1</v>
      </c>
    </row>
    <row r="1526" spans="1:8" x14ac:dyDescent="0.25">
      <c r="A1526" t="s">
        <v>2647</v>
      </c>
      <c r="B1526" s="1">
        <v>45308</v>
      </c>
      <c r="C1526" s="1">
        <v>45378</v>
      </c>
      <c r="D1526" s="1">
        <v>45619</v>
      </c>
      <c r="E1526">
        <v>-7512.46</v>
      </c>
      <c r="F1526">
        <f t="shared" si="70"/>
        <v>2024</v>
      </c>
      <c r="G1526">
        <f t="shared" si="71"/>
        <v>2024</v>
      </c>
      <c r="H1526">
        <f t="shared" si="69"/>
        <v>0</v>
      </c>
    </row>
    <row r="1527" spans="1:8" x14ac:dyDescent="0.25">
      <c r="A1527" t="s">
        <v>2500</v>
      </c>
      <c r="B1527" s="1">
        <v>44614</v>
      </c>
      <c r="C1527" s="1">
        <v>44628</v>
      </c>
      <c r="D1527" s="1">
        <v>45012</v>
      </c>
      <c r="E1527">
        <v>55382.93</v>
      </c>
      <c r="F1527">
        <f t="shared" si="70"/>
        <v>2022</v>
      </c>
      <c r="G1527">
        <f t="shared" si="71"/>
        <v>2023</v>
      </c>
      <c r="H1527">
        <f t="shared" si="69"/>
        <v>1</v>
      </c>
    </row>
    <row r="1528" spans="1:8" x14ac:dyDescent="0.25">
      <c r="A1528" t="s">
        <v>2815</v>
      </c>
      <c r="B1528" s="1">
        <v>44142</v>
      </c>
      <c r="C1528" s="1">
        <v>44165</v>
      </c>
      <c r="D1528" s="1">
        <v>44448</v>
      </c>
      <c r="E1528">
        <v>-20938.189999999999</v>
      </c>
      <c r="F1528">
        <f t="shared" si="70"/>
        <v>2020</v>
      </c>
      <c r="G1528">
        <f t="shared" si="71"/>
        <v>2021</v>
      </c>
      <c r="H1528">
        <f t="shared" si="69"/>
        <v>1</v>
      </c>
    </row>
    <row r="1529" spans="1:8" x14ac:dyDescent="0.25">
      <c r="A1529" t="s">
        <v>2666</v>
      </c>
      <c r="B1529" s="1">
        <v>45081</v>
      </c>
      <c r="C1529" s="1">
        <v>45154</v>
      </c>
      <c r="D1529" s="1">
        <v>45344</v>
      </c>
      <c r="E1529">
        <v>52541.07</v>
      </c>
      <c r="F1529">
        <f t="shared" si="70"/>
        <v>2023</v>
      </c>
      <c r="G1529">
        <f t="shared" si="71"/>
        <v>2024</v>
      </c>
      <c r="H1529">
        <f t="shared" si="69"/>
        <v>1</v>
      </c>
    </row>
    <row r="1530" spans="1:8" x14ac:dyDescent="0.25">
      <c r="A1530" t="s">
        <v>2390</v>
      </c>
      <c r="B1530" s="1">
        <v>44273</v>
      </c>
      <c r="C1530" s="1">
        <v>44332</v>
      </c>
      <c r="D1530" s="1">
        <v>44820</v>
      </c>
      <c r="E1530">
        <v>35545.870000000003</v>
      </c>
      <c r="F1530">
        <f t="shared" si="70"/>
        <v>2021</v>
      </c>
      <c r="G1530">
        <f t="shared" si="71"/>
        <v>2022</v>
      </c>
      <c r="H1530">
        <f t="shared" si="69"/>
        <v>1</v>
      </c>
    </row>
    <row r="1531" spans="1:8" x14ac:dyDescent="0.25">
      <c r="A1531" t="s">
        <v>2268</v>
      </c>
      <c r="B1531" s="1">
        <v>43832</v>
      </c>
      <c r="C1531" s="1">
        <v>43882</v>
      </c>
      <c r="D1531" s="1">
        <v>44441</v>
      </c>
      <c r="E1531">
        <v>72725.7</v>
      </c>
      <c r="F1531">
        <f t="shared" si="70"/>
        <v>2020</v>
      </c>
      <c r="G1531">
        <f t="shared" si="71"/>
        <v>2021</v>
      </c>
      <c r="H1531">
        <f t="shared" si="69"/>
        <v>1</v>
      </c>
    </row>
    <row r="1532" spans="1:8" x14ac:dyDescent="0.25">
      <c r="A1532" t="s">
        <v>2696</v>
      </c>
      <c r="B1532" s="1">
        <v>44243</v>
      </c>
      <c r="C1532" s="1">
        <v>44262</v>
      </c>
      <c r="D1532" s="1">
        <v>44472</v>
      </c>
      <c r="E1532">
        <v>15147.11</v>
      </c>
      <c r="F1532">
        <f t="shared" si="70"/>
        <v>2021</v>
      </c>
      <c r="G1532">
        <f t="shared" si="71"/>
        <v>2021</v>
      </c>
      <c r="H1532">
        <f t="shared" si="69"/>
        <v>0</v>
      </c>
    </row>
    <row r="1533" spans="1:8" x14ac:dyDescent="0.25">
      <c r="A1533" t="s">
        <v>2251</v>
      </c>
      <c r="B1533" s="1">
        <v>44692</v>
      </c>
      <c r="D1533" s="1">
        <v>45181</v>
      </c>
      <c r="E1533">
        <v>-465199.11</v>
      </c>
      <c r="F1533">
        <f t="shared" si="70"/>
        <v>2022</v>
      </c>
      <c r="G1533">
        <f t="shared" si="71"/>
        <v>2023</v>
      </c>
      <c r="H1533">
        <f t="shared" si="69"/>
        <v>1</v>
      </c>
    </row>
    <row r="1534" spans="1:8" x14ac:dyDescent="0.25">
      <c r="A1534" t="s">
        <v>2519</v>
      </c>
      <c r="B1534" s="1">
        <v>43982</v>
      </c>
      <c r="C1534" s="1">
        <v>44005</v>
      </c>
      <c r="D1534" s="1">
        <v>44255</v>
      </c>
      <c r="E1534">
        <v>72955.929999999993</v>
      </c>
      <c r="F1534">
        <f t="shared" si="70"/>
        <v>2020</v>
      </c>
      <c r="G1534">
        <f t="shared" si="71"/>
        <v>2021</v>
      </c>
      <c r="H1534">
        <f t="shared" si="69"/>
        <v>1</v>
      </c>
    </row>
    <row r="1535" spans="1:8" x14ac:dyDescent="0.25">
      <c r="A1535" t="s">
        <v>2143</v>
      </c>
      <c r="B1535" s="1">
        <v>44577</v>
      </c>
      <c r="C1535" s="1">
        <v>44587</v>
      </c>
      <c r="D1535" s="1">
        <v>44877</v>
      </c>
      <c r="E1535">
        <v>80710.11</v>
      </c>
      <c r="F1535">
        <f t="shared" si="70"/>
        <v>2022</v>
      </c>
      <c r="G1535">
        <f t="shared" si="71"/>
        <v>2022</v>
      </c>
      <c r="H1535">
        <f t="shared" si="69"/>
        <v>0</v>
      </c>
    </row>
    <row r="1536" spans="1:8" x14ac:dyDescent="0.25">
      <c r="A1536" t="s">
        <v>2190</v>
      </c>
      <c r="B1536" s="1">
        <v>43865</v>
      </c>
      <c r="C1536" s="1">
        <v>43925</v>
      </c>
      <c r="D1536" s="1">
        <v>44249</v>
      </c>
      <c r="E1536">
        <v>75138.350000000006</v>
      </c>
      <c r="F1536">
        <f t="shared" si="70"/>
        <v>2020</v>
      </c>
      <c r="G1536">
        <f t="shared" si="71"/>
        <v>2021</v>
      </c>
      <c r="H1536">
        <f t="shared" si="69"/>
        <v>1</v>
      </c>
    </row>
    <row r="1537" spans="1:8" x14ac:dyDescent="0.25">
      <c r="A1537" t="s">
        <v>2789</v>
      </c>
      <c r="B1537" s="1">
        <v>44632</v>
      </c>
      <c r="C1537" s="1">
        <v>44650</v>
      </c>
      <c r="D1537" s="1">
        <v>44765</v>
      </c>
      <c r="E1537">
        <v>66465.210000000006</v>
      </c>
      <c r="F1537">
        <f t="shared" si="70"/>
        <v>2022</v>
      </c>
      <c r="G1537">
        <f t="shared" si="71"/>
        <v>2022</v>
      </c>
      <c r="H1537">
        <f t="shared" si="69"/>
        <v>0</v>
      </c>
    </row>
    <row r="1538" spans="1:8" x14ac:dyDescent="0.25">
      <c r="A1538" t="s">
        <v>2818</v>
      </c>
      <c r="B1538" s="1">
        <v>45269</v>
      </c>
      <c r="C1538" s="1">
        <v>45310</v>
      </c>
      <c r="D1538" s="1">
        <v>45454</v>
      </c>
      <c r="E1538">
        <v>21561.26</v>
      </c>
      <c r="F1538">
        <f t="shared" si="70"/>
        <v>2023</v>
      </c>
      <c r="G1538">
        <f t="shared" si="71"/>
        <v>2024</v>
      </c>
      <c r="H1538">
        <f t="shared" ref="H1538:H1601" si="72">MAX(0,G1538-F1538)</f>
        <v>1</v>
      </c>
    </row>
    <row r="1539" spans="1:8" x14ac:dyDescent="0.25">
      <c r="A1539" t="s">
        <v>2260</v>
      </c>
      <c r="B1539" s="1">
        <v>44978</v>
      </c>
      <c r="C1539" s="1">
        <v>45024</v>
      </c>
      <c r="D1539" s="1">
        <v>45198</v>
      </c>
      <c r="E1539">
        <v>24457.94</v>
      </c>
      <c r="F1539">
        <f t="shared" ref="F1539:F1602" si="73">YEAR(B1539)</f>
        <v>2023</v>
      </c>
      <c r="G1539">
        <f t="shared" ref="G1539:G1602" si="74">YEAR(D1539)</f>
        <v>2023</v>
      </c>
      <c r="H1539">
        <f t="shared" si="72"/>
        <v>0</v>
      </c>
    </row>
    <row r="1540" spans="1:8" x14ac:dyDescent="0.25">
      <c r="A1540" t="s">
        <v>2248</v>
      </c>
      <c r="B1540" s="1">
        <v>44202</v>
      </c>
      <c r="C1540" s="1">
        <v>44247</v>
      </c>
      <c r="D1540" s="1">
        <v>44496</v>
      </c>
      <c r="E1540">
        <v>2567.2600000000002</v>
      </c>
      <c r="F1540">
        <f t="shared" si="73"/>
        <v>2021</v>
      </c>
      <c r="G1540">
        <f t="shared" si="74"/>
        <v>2021</v>
      </c>
      <c r="H1540">
        <f t="shared" si="72"/>
        <v>0</v>
      </c>
    </row>
    <row r="1541" spans="1:8" x14ac:dyDescent="0.25">
      <c r="A1541" t="s">
        <v>2247</v>
      </c>
      <c r="B1541" s="1">
        <v>44098</v>
      </c>
      <c r="C1541" s="1">
        <v>44132</v>
      </c>
      <c r="D1541" s="1">
        <v>44550</v>
      </c>
      <c r="E1541">
        <v>70426.14</v>
      </c>
      <c r="F1541">
        <f t="shared" si="73"/>
        <v>2020</v>
      </c>
      <c r="G1541">
        <f t="shared" si="74"/>
        <v>2021</v>
      </c>
      <c r="H1541">
        <f t="shared" si="72"/>
        <v>1</v>
      </c>
    </row>
    <row r="1542" spans="1:8" x14ac:dyDescent="0.25">
      <c r="A1542" t="s">
        <v>2454</v>
      </c>
      <c r="B1542" s="1">
        <v>44931</v>
      </c>
      <c r="D1542" s="1">
        <v>45125</v>
      </c>
      <c r="E1542">
        <v>63600.72</v>
      </c>
      <c r="F1542">
        <f t="shared" si="73"/>
        <v>2023</v>
      </c>
      <c r="G1542">
        <f t="shared" si="74"/>
        <v>2023</v>
      </c>
      <c r="H1542">
        <f t="shared" si="72"/>
        <v>0</v>
      </c>
    </row>
    <row r="1543" spans="1:8" x14ac:dyDescent="0.25">
      <c r="A1543" t="s">
        <v>2310</v>
      </c>
      <c r="B1543" s="1">
        <v>45216</v>
      </c>
      <c r="C1543" s="1">
        <v>45277</v>
      </c>
      <c r="D1543" s="1">
        <v>45476</v>
      </c>
      <c r="E1543">
        <v>77958.22</v>
      </c>
      <c r="F1543">
        <f t="shared" si="73"/>
        <v>2023</v>
      </c>
      <c r="G1543">
        <f t="shared" si="74"/>
        <v>2024</v>
      </c>
      <c r="H1543">
        <f t="shared" si="72"/>
        <v>1</v>
      </c>
    </row>
    <row r="1544" spans="1:8" x14ac:dyDescent="0.25">
      <c r="A1544" t="s">
        <v>2797</v>
      </c>
      <c r="B1544" s="1">
        <v>44606</v>
      </c>
      <c r="C1544" s="1">
        <v>44644</v>
      </c>
      <c r="D1544" s="1">
        <v>44829</v>
      </c>
      <c r="E1544">
        <v>-21397.439999999999</v>
      </c>
      <c r="F1544">
        <f t="shared" si="73"/>
        <v>2022</v>
      </c>
      <c r="G1544">
        <f t="shared" si="74"/>
        <v>2022</v>
      </c>
      <c r="H1544">
        <f t="shared" si="72"/>
        <v>0</v>
      </c>
    </row>
    <row r="1545" spans="1:8" x14ac:dyDescent="0.25">
      <c r="A1545" t="s">
        <v>2851</v>
      </c>
      <c r="B1545" s="1">
        <v>45206</v>
      </c>
      <c r="C1545" s="1">
        <v>45287</v>
      </c>
      <c r="D1545" s="1">
        <v>45540</v>
      </c>
      <c r="E1545">
        <v>33202.76</v>
      </c>
      <c r="F1545">
        <f t="shared" si="73"/>
        <v>2023</v>
      </c>
      <c r="G1545">
        <f t="shared" si="74"/>
        <v>2024</v>
      </c>
      <c r="H1545">
        <f t="shared" si="72"/>
        <v>1</v>
      </c>
    </row>
    <row r="1546" spans="1:8" x14ac:dyDescent="0.25">
      <c r="A1546" t="s">
        <v>2633</v>
      </c>
      <c r="B1546" s="1">
        <v>44375</v>
      </c>
      <c r="C1546" s="1">
        <v>44442</v>
      </c>
      <c r="D1546" s="1">
        <v>44541</v>
      </c>
      <c r="E1546">
        <v>32516.62</v>
      </c>
      <c r="F1546">
        <f t="shared" si="73"/>
        <v>2021</v>
      </c>
      <c r="G1546">
        <f t="shared" si="74"/>
        <v>2021</v>
      </c>
      <c r="H1546">
        <f t="shared" si="72"/>
        <v>0</v>
      </c>
    </row>
    <row r="1547" spans="1:8" x14ac:dyDescent="0.25">
      <c r="A1547" t="s">
        <v>2511</v>
      </c>
      <c r="B1547" s="1">
        <v>44953</v>
      </c>
      <c r="D1547" s="1">
        <v>45053</v>
      </c>
      <c r="E1547">
        <v>-14705.09</v>
      </c>
      <c r="F1547">
        <f t="shared" si="73"/>
        <v>2023</v>
      </c>
      <c r="G1547">
        <f t="shared" si="74"/>
        <v>2023</v>
      </c>
      <c r="H1547">
        <f t="shared" si="72"/>
        <v>0</v>
      </c>
    </row>
    <row r="1548" spans="1:8" x14ac:dyDescent="0.25">
      <c r="A1548" t="s">
        <v>2198</v>
      </c>
      <c r="B1548" s="1">
        <v>44609</v>
      </c>
      <c r="C1548" s="1">
        <v>44676</v>
      </c>
      <c r="D1548" s="1">
        <v>44823</v>
      </c>
      <c r="E1548">
        <v>36522.54</v>
      </c>
      <c r="F1548">
        <f t="shared" si="73"/>
        <v>2022</v>
      </c>
      <c r="G1548">
        <f t="shared" si="74"/>
        <v>2022</v>
      </c>
      <c r="H1548">
        <f t="shared" si="72"/>
        <v>0</v>
      </c>
    </row>
    <row r="1549" spans="1:8" x14ac:dyDescent="0.25">
      <c r="A1549" t="s">
        <v>2837</v>
      </c>
      <c r="B1549" s="1">
        <v>44367</v>
      </c>
      <c r="C1549" s="1">
        <v>44450</v>
      </c>
      <c r="D1549" s="1">
        <v>44641</v>
      </c>
      <c r="E1549">
        <v>7092.11</v>
      </c>
      <c r="F1549">
        <f t="shared" si="73"/>
        <v>2021</v>
      </c>
      <c r="G1549">
        <f t="shared" si="74"/>
        <v>2022</v>
      </c>
      <c r="H1549">
        <f t="shared" si="72"/>
        <v>1</v>
      </c>
    </row>
    <row r="1550" spans="1:8" x14ac:dyDescent="0.25">
      <c r="A1550" t="s">
        <v>2642</v>
      </c>
      <c r="B1550" s="1">
        <v>44084</v>
      </c>
      <c r="C1550" s="1">
        <v>44168</v>
      </c>
      <c r="D1550" s="1">
        <v>44536</v>
      </c>
      <c r="E1550">
        <v>6063.91</v>
      </c>
      <c r="F1550">
        <f t="shared" si="73"/>
        <v>2020</v>
      </c>
      <c r="G1550">
        <f t="shared" si="74"/>
        <v>2021</v>
      </c>
      <c r="H1550">
        <f t="shared" si="72"/>
        <v>1</v>
      </c>
    </row>
    <row r="1551" spans="1:8" x14ac:dyDescent="0.25">
      <c r="A1551" t="s">
        <v>2240</v>
      </c>
      <c r="B1551" s="1">
        <v>44694</v>
      </c>
      <c r="C1551" s="1">
        <v>44770</v>
      </c>
      <c r="D1551" s="1">
        <v>45199</v>
      </c>
      <c r="E1551">
        <v>11591.56</v>
      </c>
      <c r="F1551">
        <f t="shared" si="73"/>
        <v>2022</v>
      </c>
      <c r="G1551">
        <f t="shared" si="74"/>
        <v>2023</v>
      </c>
      <c r="H1551">
        <f t="shared" si="72"/>
        <v>1</v>
      </c>
    </row>
    <row r="1552" spans="1:8" x14ac:dyDescent="0.25">
      <c r="A1552" t="s">
        <v>2852</v>
      </c>
      <c r="B1552" s="1">
        <v>45630</v>
      </c>
      <c r="D1552" s="1">
        <v>45675</v>
      </c>
      <c r="E1552">
        <v>83892.17</v>
      </c>
      <c r="F1552">
        <f t="shared" si="73"/>
        <v>2024</v>
      </c>
      <c r="G1552">
        <f t="shared" si="74"/>
        <v>2025</v>
      </c>
      <c r="H1552">
        <f t="shared" si="72"/>
        <v>1</v>
      </c>
    </row>
    <row r="1553" spans="1:8" x14ac:dyDescent="0.25">
      <c r="A1553" t="s">
        <v>2527</v>
      </c>
      <c r="B1553" s="1">
        <v>44970</v>
      </c>
      <c r="C1553" s="1">
        <v>44999</v>
      </c>
      <c r="D1553" s="1">
        <v>45360</v>
      </c>
      <c r="E1553">
        <v>43609.19</v>
      </c>
      <c r="F1553">
        <f t="shared" si="73"/>
        <v>2023</v>
      </c>
      <c r="G1553">
        <f t="shared" si="74"/>
        <v>2024</v>
      </c>
      <c r="H1553">
        <f t="shared" si="72"/>
        <v>1</v>
      </c>
    </row>
    <row r="1554" spans="1:8" x14ac:dyDescent="0.25">
      <c r="A1554" t="s">
        <v>2143</v>
      </c>
      <c r="B1554" s="1">
        <v>44577</v>
      </c>
      <c r="C1554" s="1">
        <v>44587</v>
      </c>
      <c r="D1554" s="1">
        <v>44698</v>
      </c>
      <c r="E1554">
        <v>20891.310000000001</v>
      </c>
      <c r="F1554">
        <f t="shared" si="73"/>
        <v>2022</v>
      </c>
      <c r="G1554">
        <f t="shared" si="74"/>
        <v>2022</v>
      </c>
      <c r="H1554">
        <f t="shared" si="72"/>
        <v>0</v>
      </c>
    </row>
    <row r="1555" spans="1:8" x14ac:dyDescent="0.25">
      <c r="A1555" t="s">
        <v>2668</v>
      </c>
      <c r="B1555" s="1">
        <v>45080</v>
      </c>
      <c r="C1555" s="1">
        <v>45105</v>
      </c>
      <c r="D1555" s="1">
        <v>45402</v>
      </c>
      <c r="E1555">
        <v>80502.960000000006</v>
      </c>
      <c r="F1555">
        <f t="shared" si="73"/>
        <v>2023</v>
      </c>
      <c r="G1555">
        <f t="shared" si="74"/>
        <v>2024</v>
      </c>
      <c r="H1555">
        <f t="shared" si="72"/>
        <v>1</v>
      </c>
    </row>
    <row r="1556" spans="1:8" x14ac:dyDescent="0.25">
      <c r="A1556" t="s">
        <v>2608</v>
      </c>
      <c r="B1556" s="1">
        <v>44728</v>
      </c>
      <c r="D1556" s="1">
        <v>45221</v>
      </c>
      <c r="E1556">
        <v>65541.72</v>
      </c>
      <c r="F1556">
        <f t="shared" si="73"/>
        <v>2022</v>
      </c>
      <c r="G1556">
        <f t="shared" si="74"/>
        <v>2023</v>
      </c>
      <c r="H1556">
        <f t="shared" si="72"/>
        <v>1</v>
      </c>
    </row>
    <row r="1557" spans="1:8" x14ac:dyDescent="0.25">
      <c r="A1557" t="s">
        <v>2706</v>
      </c>
      <c r="B1557" s="1">
        <v>45365</v>
      </c>
      <c r="C1557" s="1">
        <v>45405</v>
      </c>
      <c r="D1557" s="1">
        <v>45660</v>
      </c>
      <c r="E1557">
        <v>36866.019999999997</v>
      </c>
      <c r="F1557">
        <f t="shared" si="73"/>
        <v>2024</v>
      </c>
      <c r="G1557">
        <f t="shared" si="74"/>
        <v>2025</v>
      </c>
      <c r="H1557">
        <f t="shared" si="72"/>
        <v>1</v>
      </c>
    </row>
    <row r="1558" spans="1:8" x14ac:dyDescent="0.25">
      <c r="A1558" t="s">
        <v>2853</v>
      </c>
      <c r="B1558" s="1">
        <v>44895</v>
      </c>
      <c r="C1558" s="1">
        <v>44940</v>
      </c>
      <c r="D1558" s="1">
        <v>45136</v>
      </c>
      <c r="E1558">
        <v>62305.62</v>
      </c>
      <c r="F1558">
        <f t="shared" si="73"/>
        <v>2022</v>
      </c>
      <c r="G1558">
        <f t="shared" si="74"/>
        <v>2023</v>
      </c>
      <c r="H1558">
        <f t="shared" si="72"/>
        <v>1</v>
      </c>
    </row>
    <row r="1559" spans="1:8" x14ac:dyDescent="0.25">
      <c r="A1559" t="s">
        <v>2584</v>
      </c>
      <c r="B1559" s="1">
        <v>44721</v>
      </c>
      <c r="C1559" s="1">
        <v>44776</v>
      </c>
      <c r="D1559" s="1">
        <v>44967</v>
      </c>
      <c r="E1559">
        <v>3448.63</v>
      </c>
      <c r="F1559">
        <f t="shared" si="73"/>
        <v>2022</v>
      </c>
      <c r="G1559">
        <f t="shared" si="74"/>
        <v>2023</v>
      </c>
      <c r="H1559">
        <f t="shared" si="72"/>
        <v>1</v>
      </c>
    </row>
    <row r="1560" spans="1:8" x14ac:dyDescent="0.25">
      <c r="A1560" t="s">
        <v>2854</v>
      </c>
      <c r="B1560" s="1">
        <v>45400</v>
      </c>
      <c r="C1560" s="1">
        <v>45445</v>
      </c>
      <c r="D1560" s="1">
        <v>45532</v>
      </c>
      <c r="E1560">
        <v>6851.3</v>
      </c>
      <c r="F1560">
        <f t="shared" si="73"/>
        <v>2024</v>
      </c>
      <c r="G1560">
        <f t="shared" si="74"/>
        <v>2024</v>
      </c>
      <c r="H1560">
        <f t="shared" si="72"/>
        <v>0</v>
      </c>
    </row>
    <row r="1561" spans="1:8" x14ac:dyDescent="0.25">
      <c r="A1561" t="s">
        <v>2855</v>
      </c>
      <c r="B1561" s="1">
        <v>44626</v>
      </c>
      <c r="C1561" s="1">
        <v>44665</v>
      </c>
      <c r="D1561" s="1">
        <v>44814</v>
      </c>
      <c r="E1561">
        <v>16705.16</v>
      </c>
      <c r="F1561">
        <f t="shared" si="73"/>
        <v>2022</v>
      </c>
      <c r="G1561">
        <f t="shared" si="74"/>
        <v>2022</v>
      </c>
      <c r="H1561">
        <f t="shared" si="72"/>
        <v>0</v>
      </c>
    </row>
    <row r="1562" spans="1:8" x14ac:dyDescent="0.25">
      <c r="A1562" t="s">
        <v>2713</v>
      </c>
      <c r="B1562" s="1">
        <v>45050</v>
      </c>
      <c r="C1562" s="1">
        <v>45055</v>
      </c>
      <c r="D1562" s="1">
        <v>45379</v>
      </c>
      <c r="E1562">
        <v>70333.94</v>
      </c>
      <c r="F1562">
        <f t="shared" si="73"/>
        <v>2023</v>
      </c>
      <c r="G1562">
        <f t="shared" si="74"/>
        <v>2024</v>
      </c>
      <c r="H1562">
        <f t="shared" si="72"/>
        <v>1</v>
      </c>
    </row>
    <row r="1563" spans="1:8" x14ac:dyDescent="0.25">
      <c r="A1563" t="s">
        <v>2845</v>
      </c>
      <c r="B1563" s="1">
        <v>44241</v>
      </c>
      <c r="C1563" s="1">
        <v>44301</v>
      </c>
      <c r="D1563" s="1">
        <v>44568</v>
      </c>
      <c r="E1563">
        <v>15655.59</v>
      </c>
      <c r="F1563">
        <f t="shared" si="73"/>
        <v>2021</v>
      </c>
      <c r="G1563">
        <f t="shared" si="74"/>
        <v>2022</v>
      </c>
      <c r="H1563">
        <f t="shared" si="72"/>
        <v>1</v>
      </c>
    </row>
    <row r="1564" spans="1:8" x14ac:dyDescent="0.25">
      <c r="A1564" t="s">
        <v>2717</v>
      </c>
      <c r="B1564" s="1">
        <v>44032</v>
      </c>
      <c r="C1564" s="1">
        <v>44107</v>
      </c>
      <c r="D1564" s="1">
        <v>44271</v>
      </c>
      <c r="E1564">
        <v>12874.83</v>
      </c>
      <c r="F1564">
        <f t="shared" si="73"/>
        <v>2020</v>
      </c>
      <c r="G1564">
        <f t="shared" si="74"/>
        <v>2021</v>
      </c>
      <c r="H1564">
        <f t="shared" si="72"/>
        <v>1</v>
      </c>
    </row>
    <row r="1565" spans="1:8" x14ac:dyDescent="0.25">
      <c r="A1565" t="s">
        <v>2267</v>
      </c>
      <c r="B1565" s="1">
        <v>45051</v>
      </c>
      <c r="C1565" s="1">
        <v>45139</v>
      </c>
      <c r="D1565" s="1">
        <v>45154</v>
      </c>
      <c r="E1565">
        <v>36098.1</v>
      </c>
      <c r="F1565">
        <f t="shared" si="73"/>
        <v>2023</v>
      </c>
      <c r="G1565">
        <f t="shared" si="74"/>
        <v>2023</v>
      </c>
      <c r="H1565">
        <f t="shared" si="72"/>
        <v>0</v>
      </c>
    </row>
    <row r="1566" spans="1:8" x14ac:dyDescent="0.25">
      <c r="A1566" t="s">
        <v>2791</v>
      </c>
      <c r="B1566" s="1">
        <v>44714</v>
      </c>
      <c r="C1566" s="1">
        <v>44773</v>
      </c>
      <c r="D1566" s="1">
        <v>45036</v>
      </c>
      <c r="E1566">
        <v>54324.7</v>
      </c>
      <c r="F1566">
        <f t="shared" si="73"/>
        <v>2022</v>
      </c>
      <c r="G1566">
        <f t="shared" si="74"/>
        <v>2023</v>
      </c>
      <c r="H1566">
        <f t="shared" si="72"/>
        <v>1</v>
      </c>
    </row>
    <row r="1567" spans="1:8" x14ac:dyDescent="0.25">
      <c r="A1567" t="s">
        <v>2268</v>
      </c>
      <c r="B1567" s="1">
        <v>43832</v>
      </c>
      <c r="C1567" s="1">
        <v>43882</v>
      </c>
      <c r="D1567" s="1">
        <v>44393</v>
      </c>
      <c r="E1567">
        <v>58076.71</v>
      </c>
      <c r="F1567">
        <f t="shared" si="73"/>
        <v>2020</v>
      </c>
      <c r="G1567">
        <f t="shared" si="74"/>
        <v>2021</v>
      </c>
      <c r="H1567">
        <f t="shared" si="72"/>
        <v>1</v>
      </c>
    </row>
    <row r="1568" spans="1:8" x14ac:dyDescent="0.25">
      <c r="A1568" t="s">
        <v>2808</v>
      </c>
      <c r="B1568" s="1">
        <v>43965</v>
      </c>
      <c r="C1568" s="1">
        <v>44051</v>
      </c>
      <c r="D1568" s="1">
        <v>44381</v>
      </c>
      <c r="E1568">
        <v>41818.68</v>
      </c>
      <c r="F1568">
        <f t="shared" si="73"/>
        <v>2020</v>
      </c>
      <c r="G1568">
        <f t="shared" si="74"/>
        <v>2021</v>
      </c>
      <c r="H1568">
        <f t="shared" si="72"/>
        <v>1</v>
      </c>
    </row>
    <row r="1569" spans="1:8" x14ac:dyDescent="0.25">
      <c r="A1569" t="s">
        <v>2300</v>
      </c>
      <c r="B1569" s="1">
        <v>44720</v>
      </c>
      <c r="C1569" s="1">
        <v>44726</v>
      </c>
      <c r="D1569" s="1">
        <v>44847</v>
      </c>
      <c r="E1569">
        <v>46980.15</v>
      </c>
      <c r="F1569">
        <f t="shared" si="73"/>
        <v>2022</v>
      </c>
      <c r="G1569">
        <f t="shared" si="74"/>
        <v>2022</v>
      </c>
      <c r="H1569">
        <f t="shared" si="72"/>
        <v>0</v>
      </c>
    </row>
    <row r="1570" spans="1:8" x14ac:dyDescent="0.25">
      <c r="A1570" t="s">
        <v>2480</v>
      </c>
      <c r="B1570" s="1">
        <v>44748</v>
      </c>
      <c r="C1570" s="1">
        <v>44752</v>
      </c>
      <c r="D1570" s="1">
        <v>44833</v>
      </c>
      <c r="E1570">
        <v>31589.99</v>
      </c>
      <c r="F1570">
        <f t="shared" si="73"/>
        <v>2022</v>
      </c>
      <c r="G1570">
        <f t="shared" si="74"/>
        <v>2022</v>
      </c>
      <c r="H1570">
        <f t="shared" si="72"/>
        <v>0</v>
      </c>
    </row>
    <row r="1571" spans="1:8" x14ac:dyDescent="0.25">
      <c r="A1571" t="s">
        <v>2856</v>
      </c>
      <c r="B1571" s="1">
        <v>45518</v>
      </c>
      <c r="C1571" s="1">
        <v>45528</v>
      </c>
      <c r="D1571" s="1">
        <v>45808</v>
      </c>
      <c r="E1571">
        <v>34115.120000000003</v>
      </c>
      <c r="F1571">
        <f t="shared" si="73"/>
        <v>2024</v>
      </c>
      <c r="G1571">
        <f t="shared" si="74"/>
        <v>2025</v>
      </c>
      <c r="H1571">
        <f t="shared" si="72"/>
        <v>1</v>
      </c>
    </row>
    <row r="1572" spans="1:8" x14ac:dyDescent="0.25">
      <c r="A1572" t="s">
        <v>2549</v>
      </c>
      <c r="B1572" s="1">
        <v>43880</v>
      </c>
      <c r="C1572" s="1">
        <v>43935</v>
      </c>
      <c r="D1572" s="1">
        <v>44103</v>
      </c>
      <c r="E1572">
        <v>81445.55</v>
      </c>
      <c r="F1572">
        <f t="shared" si="73"/>
        <v>2020</v>
      </c>
      <c r="G1572">
        <f t="shared" si="74"/>
        <v>2020</v>
      </c>
      <c r="H1572">
        <f t="shared" si="72"/>
        <v>0</v>
      </c>
    </row>
    <row r="1573" spans="1:8" x14ac:dyDescent="0.25">
      <c r="A1573" t="s">
        <v>2274</v>
      </c>
      <c r="B1573" s="1">
        <v>44566</v>
      </c>
      <c r="C1573" s="1">
        <v>44602</v>
      </c>
      <c r="D1573" s="1">
        <v>44809</v>
      </c>
      <c r="E1573">
        <v>64862.14</v>
      </c>
      <c r="F1573">
        <f t="shared" si="73"/>
        <v>2022</v>
      </c>
      <c r="G1573">
        <f t="shared" si="74"/>
        <v>2022</v>
      </c>
      <c r="H1573">
        <f t="shared" si="72"/>
        <v>0</v>
      </c>
    </row>
    <row r="1574" spans="1:8" x14ac:dyDescent="0.25">
      <c r="A1574" t="s">
        <v>2857</v>
      </c>
      <c r="B1574" s="1">
        <v>45426</v>
      </c>
      <c r="C1574" s="1">
        <v>45489</v>
      </c>
      <c r="D1574" s="1">
        <v>45578</v>
      </c>
      <c r="E1574">
        <v>47009.43</v>
      </c>
      <c r="F1574">
        <f t="shared" si="73"/>
        <v>2024</v>
      </c>
      <c r="G1574">
        <f t="shared" si="74"/>
        <v>2024</v>
      </c>
      <c r="H1574">
        <f t="shared" si="72"/>
        <v>0</v>
      </c>
    </row>
    <row r="1575" spans="1:8" x14ac:dyDescent="0.25">
      <c r="A1575" t="s">
        <v>2154</v>
      </c>
      <c r="B1575" s="1">
        <v>44916</v>
      </c>
      <c r="C1575" s="1">
        <v>45003</v>
      </c>
      <c r="D1575" s="1">
        <v>45035</v>
      </c>
      <c r="E1575">
        <v>53415.4</v>
      </c>
      <c r="F1575">
        <f t="shared" si="73"/>
        <v>2022</v>
      </c>
      <c r="G1575">
        <f t="shared" si="74"/>
        <v>2023</v>
      </c>
      <c r="H1575">
        <f t="shared" si="72"/>
        <v>1</v>
      </c>
    </row>
    <row r="1576" spans="1:8" x14ac:dyDescent="0.25">
      <c r="A1576" t="s">
        <v>2218</v>
      </c>
      <c r="B1576" s="1">
        <v>44192</v>
      </c>
      <c r="C1576" s="1">
        <v>44226</v>
      </c>
      <c r="D1576" s="1">
        <v>44596</v>
      </c>
      <c r="E1576">
        <v>8620.44</v>
      </c>
      <c r="F1576">
        <f t="shared" si="73"/>
        <v>2020</v>
      </c>
      <c r="G1576">
        <f t="shared" si="74"/>
        <v>2022</v>
      </c>
      <c r="H1576">
        <f t="shared" si="72"/>
        <v>2</v>
      </c>
    </row>
    <row r="1577" spans="1:8" x14ac:dyDescent="0.25">
      <c r="A1577" t="s">
        <v>2646</v>
      </c>
      <c r="B1577" s="1">
        <v>44403</v>
      </c>
      <c r="C1577" s="1">
        <v>44461</v>
      </c>
      <c r="D1577" s="1">
        <v>44732</v>
      </c>
      <c r="E1577">
        <v>-22699.27</v>
      </c>
      <c r="F1577">
        <f t="shared" si="73"/>
        <v>2021</v>
      </c>
      <c r="G1577">
        <f t="shared" si="74"/>
        <v>2022</v>
      </c>
      <c r="H1577">
        <f t="shared" si="72"/>
        <v>1</v>
      </c>
    </row>
    <row r="1578" spans="1:8" x14ac:dyDescent="0.25">
      <c r="A1578" t="s">
        <v>2486</v>
      </c>
      <c r="B1578" s="1">
        <v>44646</v>
      </c>
      <c r="D1578" s="1">
        <v>44819</v>
      </c>
      <c r="E1578">
        <v>70475.83</v>
      </c>
      <c r="F1578">
        <f t="shared" si="73"/>
        <v>2022</v>
      </c>
      <c r="G1578">
        <f t="shared" si="74"/>
        <v>2022</v>
      </c>
      <c r="H1578">
        <f t="shared" si="72"/>
        <v>0</v>
      </c>
    </row>
    <row r="1579" spans="1:8" x14ac:dyDescent="0.25">
      <c r="A1579" t="s">
        <v>2786</v>
      </c>
      <c r="B1579" s="1">
        <v>44717</v>
      </c>
      <c r="C1579" s="1">
        <v>44778</v>
      </c>
      <c r="D1579" s="1">
        <v>44918</v>
      </c>
      <c r="E1579">
        <v>64846.14</v>
      </c>
      <c r="F1579">
        <f t="shared" si="73"/>
        <v>2022</v>
      </c>
      <c r="G1579">
        <f t="shared" si="74"/>
        <v>2022</v>
      </c>
      <c r="H1579">
        <f t="shared" si="72"/>
        <v>0</v>
      </c>
    </row>
    <row r="1580" spans="1:8" x14ac:dyDescent="0.25">
      <c r="A1580" t="s">
        <v>2261</v>
      </c>
      <c r="B1580" s="1">
        <v>44352</v>
      </c>
      <c r="C1580" s="1">
        <v>44418</v>
      </c>
      <c r="D1580" s="1">
        <v>44851</v>
      </c>
      <c r="E1580">
        <v>-11305.31</v>
      </c>
      <c r="F1580">
        <f t="shared" si="73"/>
        <v>2021</v>
      </c>
      <c r="G1580">
        <f t="shared" si="74"/>
        <v>2022</v>
      </c>
      <c r="H1580">
        <f t="shared" si="72"/>
        <v>1</v>
      </c>
    </row>
    <row r="1581" spans="1:8" x14ac:dyDescent="0.25">
      <c r="A1581" t="s">
        <v>2437</v>
      </c>
      <c r="B1581" s="1">
        <v>45012</v>
      </c>
      <c r="C1581" s="1">
        <v>45024</v>
      </c>
      <c r="D1581" s="1">
        <v>45134</v>
      </c>
      <c r="E1581">
        <v>9354.01</v>
      </c>
      <c r="F1581">
        <f t="shared" si="73"/>
        <v>2023</v>
      </c>
      <c r="G1581">
        <f t="shared" si="74"/>
        <v>2023</v>
      </c>
      <c r="H1581">
        <f t="shared" si="72"/>
        <v>0</v>
      </c>
    </row>
    <row r="1582" spans="1:8" x14ac:dyDescent="0.25">
      <c r="A1582" t="s">
        <v>2858</v>
      </c>
      <c r="B1582" s="1">
        <v>44860</v>
      </c>
      <c r="C1582" s="1">
        <v>44919</v>
      </c>
      <c r="D1582" s="1">
        <v>44985</v>
      </c>
      <c r="E1582">
        <v>27979.68</v>
      </c>
      <c r="F1582">
        <f t="shared" si="73"/>
        <v>2022</v>
      </c>
      <c r="G1582">
        <f t="shared" si="74"/>
        <v>2023</v>
      </c>
      <c r="H1582">
        <f t="shared" si="72"/>
        <v>1</v>
      </c>
    </row>
    <row r="1583" spans="1:8" x14ac:dyDescent="0.25">
      <c r="A1583" t="s">
        <v>2569</v>
      </c>
      <c r="B1583" s="1">
        <v>44855</v>
      </c>
      <c r="C1583" s="1">
        <v>44920</v>
      </c>
      <c r="D1583" s="1">
        <v>45110</v>
      </c>
      <c r="E1583">
        <v>44235.46</v>
      </c>
      <c r="F1583">
        <f t="shared" si="73"/>
        <v>2022</v>
      </c>
      <c r="G1583">
        <f t="shared" si="74"/>
        <v>2023</v>
      </c>
      <c r="H1583">
        <f t="shared" si="72"/>
        <v>1</v>
      </c>
    </row>
    <row r="1584" spans="1:8" x14ac:dyDescent="0.25">
      <c r="A1584" t="s">
        <v>2373</v>
      </c>
      <c r="B1584" s="1">
        <v>44299</v>
      </c>
      <c r="C1584" s="1">
        <v>44373</v>
      </c>
      <c r="D1584" s="1">
        <v>44929</v>
      </c>
      <c r="E1584">
        <v>71206.84</v>
      </c>
      <c r="F1584">
        <f t="shared" si="73"/>
        <v>2021</v>
      </c>
      <c r="G1584">
        <f t="shared" si="74"/>
        <v>2023</v>
      </c>
      <c r="H1584">
        <f t="shared" si="72"/>
        <v>2</v>
      </c>
    </row>
    <row r="1585" spans="1:8" x14ac:dyDescent="0.25">
      <c r="A1585" t="s">
        <v>2653</v>
      </c>
      <c r="B1585" s="1">
        <v>44386</v>
      </c>
      <c r="C1585" s="1">
        <v>44433</v>
      </c>
      <c r="D1585" s="1">
        <v>44930</v>
      </c>
      <c r="E1585">
        <v>4266.6099999999997</v>
      </c>
      <c r="F1585">
        <f t="shared" si="73"/>
        <v>2021</v>
      </c>
      <c r="G1585">
        <f t="shared" si="74"/>
        <v>2023</v>
      </c>
      <c r="H1585">
        <f t="shared" si="72"/>
        <v>2</v>
      </c>
    </row>
    <row r="1586" spans="1:8" x14ac:dyDescent="0.25">
      <c r="A1586" t="s">
        <v>2859</v>
      </c>
      <c r="B1586" s="1">
        <v>44310</v>
      </c>
      <c r="C1586" s="1">
        <v>44357</v>
      </c>
      <c r="D1586" s="1">
        <v>44542</v>
      </c>
      <c r="E1586">
        <v>72939.42</v>
      </c>
      <c r="F1586">
        <f t="shared" si="73"/>
        <v>2021</v>
      </c>
      <c r="G1586">
        <f t="shared" si="74"/>
        <v>2021</v>
      </c>
      <c r="H1586">
        <f t="shared" si="72"/>
        <v>0</v>
      </c>
    </row>
    <row r="1587" spans="1:8" x14ac:dyDescent="0.25">
      <c r="A1587" t="s">
        <v>2860</v>
      </c>
      <c r="B1587" s="1">
        <v>44683</v>
      </c>
      <c r="C1587" s="1">
        <v>44768</v>
      </c>
      <c r="D1587" s="1">
        <v>44941</v>
      </c>
      <c r="E1587">
        <v>40098.11</v>
      </c>
      <c r="F1587">
        <f t="shared" si="73"/>
        <v>2022</v>
      </c>
      <c r="G1587">
        <f t="shared" si="74"/>
        <v>2023</v>
      </c>
      <c r="H1587">
        <f t="shared" si="72"/>
        <v>1</v>
      </c>
    </row>
    <row r="1588" spans="1:8" x14ac:dyDescent="0.25">
      <c r="A1588" t="s">
        <v>2719</v>
      </c>
      <c r="B1588" s="1">
        <v>43892</v>
      </c>
      <c r="C1588" s="1">
        <v>43947</v>
      </c>
      <c r="D1588" s="1">
        <v>44197</v>
      </c>
      <c r="E1588">
        <v>56099.59</v>
      </c>
      <c r="F1588">
        <f t="shared" si="73"/>
        <v>2020</v>
      </c>
      <c r="G1588">
        <f t="shared" si="74"/>
        <v>2021</v>
      </c>
      <c r="H1588">
        <f t="shared" si="72"/>
        <v>1</v>
      </c>
    </row>
    <row r="1589" spans="1:8" x14ac:dyDescent="0.25">
      <c r="A1589" t="s">
        <v>2506</v>
      </c>
      <c r="B1589" s="1">
        <v>44441</v>
      </c>
      <c r="C1589" s="1">
        <v>44476</v>
      </c>
      <c r="D1589" s="1">
        <v>44786</v>
      </c>
      <c r="E1589">
        <v>33454.83</v>
      </c>
      <c r="F1589">
        <f t="shared" si="73"/>
        <v>2021</v>
      </c>
      <c r="G1589">
        <f t="shared" si="74"/>
        <v>2022</v>
      </c>
      <c r="H1589">
        <f t="shared" si="72"/>
        <v>1</v>
      </c>
    </row>
    <row r="1590" spans="1:8" x14ac:dyDescent="0.25">
      <c r="A1590" t="s">
        <v>2754</v>
      </c>
      <c r="B1590" s="1">
        <v>45070</v>
      </c>
      <c r="C1590" s="1">
        <v>45133</v>
      </c>
      <c r="D1590" s="1">
        <v>45507</v>
      </c>
      <c r="E1590">
        <v>55067.83</v>
      </c>
      <c r="F1590">
        <f t="shared" si="73"/>
        <v>2023</v>
      </c>
      <c r="G1590">
        <f t="shared" si="74"/>
        <v>2024</v>
      </c>
      <c r="H1590">
        <f t="shared" si="72"/>
        <v>1</v>
      </c>
    </row>
    <row r="1591" spans="1:8" x14ac:dyDescent="0.25">
      <c r="A1591" t="s">
        <v>2395</v>
      </c>
      <c r="B1591" s="1">
        <v>45126</v>
      </c>
      <c r="C1591" s="1">
        <v>45143</v>
      </c>
      <c r="D1591" s="1">
        <v>45189</v>
      </c>
      <c r="E1591">
        <v>11107.11</v>
      </c>
      <c r="F1591">
        <f t="shared" si="73"/>
        <v>2023</v>
      </c>
      <c r="G1591">
        <f t="shared" si="74"/>
        <v>2023</v>
      </c>
      <c r="H1591">
        <f t="shared" si="72"/>
        <v>0</v>
      </c>
    </row>
    <row r="1592" spans="1:8" x14ac:dyDescent="0.25">
      <c r="A1592" t="s">
        <v>2750</v>
      </c>
      <c r="B1592" s="1">
        <v>45241</v>
      </c>
      <c r="C1592" s="1">
        <v>45319</v>
      </c>
      <c r="D1592" s="1">
        <v>45753</v>
      </c>
      <c r="E1592">
        <v>24446.81</v>
      </c>
      <c r="F1592">
        <f t="shared" si="73"/>
        <v>2023</v>
      </c>
      <c r="G1592">
        <f t="shared" si="74"/>
        <v>2025</v>
      </c>
      <c r="H1592">
        <f t="shared" si="72"/>
        <v>2</v>
      </c>
    </row>
    <row r="1593" spans="1:8" x14ac:dyDescent="0.25">
      <c r="A1593" t="s">
        <v>2371</v>
      </c>
      <c r="B1593" s="1">
        <v>44902</v>
      </c>
      <c r="C1593" s="1">
        <v>44973</v>
      </c>
      <c r="D1593" s="1">
        <v>45443</v>
      </c>
      <c r="E1593">
        <v>11878.6</v>
      </c>
      <c r="F1593">
        <f t="shared" si="73"/>
        <v>2022</v>
      </c>
      <c r="G1593">
        <f t="shared" si="74"/>
        <v>2024</v>
      </c>
      <c r="H1593">
        <f t="shared" si="72"/>
        <v>2</v>
      </c>
    </row>
    <row r="1594" spans="1:8" x14ac:dyDescent="0.25">
      <c r="A1594" t="s">
        <v>2479</v>
      </c>
      <c r="B1594" s="1">
        <v>44797</v>
      </c>
      <c r="C1594" s="1">
        <v>44840</v>
      </c>
      <c r="D1594" s="1">
        <v>45239</v>
      </c>
      <c r="E1594">
        <v>-13359.47</v>
      </c>
      <c r="F1594">
        <f t="shared" si="73"/>
        <v>2022</v>
      </c>
      <c r="G1594">
        <f t="shared" si="74"/>
        <v>2023</v>
      </c>
      <c r="H1594">
        <f t="shared" si="72"/>
        <v>1</v>
      </c>
    </row>
    <row r="1595" spans="1:8" x14ac:dyDescent="0.25">
      <c r="A1595" t="s">
        <v>2541</v>
      </c>
      <c r="B1595" s="1">
        <v>44890</v>
      </c>
      <c r="C1595" s="1">
        <v>44904</v>
      </c>
      <c r="D1595" s="1">
        <v>45125</v>
      </c>
      <c r="E1595">
        <v>52614.12</v>
      </c>
      <c r="F1595">
        <f t="shared" si="73"/>
        <v>2022</v>
      </c>
      <c r="G1595">
        <f t="shared" si="74"/>
        <v>2023</v>
      </c>
      <c r="H1595">
        <f t="shared" si="72"/>
        <v>1</v>
      </c>
    </row>
    <row r="1596" spans="1:8" x14ac:dyDescent="0.25">
      <c r="A1596" t="s">
        <v>2483</v>
      </c>
      <c r="B1596" s="1">
        <v>45018</v>
      </c>
      <c r="C1596" s="1">
        <v>45080</v>
      </c>
      <c r="D1596" s="1">
        <v>45248</v>
      </c>
      <c r="E1596">
        <v>55594.06</v>
      </c>
      <c r="F1596">
        <f t="shared" si="73"/>
        <v>2023</v>
      </c>
      <c r="G1596">
        <f t="shared" si="74"/>
        <v>2023</v>
      </c>
      <c r="H1596">
        <f t="shared" si="72"/>
        <v>0</v>
      </c>
    </row>
    <row r="1597" spans="1:8" x14ac:dyDescent="0.25">
      <c r="A1597" t="s">
        <v>2664</v>
      </c>
      <c r="B1597" s="1">
        <v>45203</v>
      </c>
      <c r="C1597" s="1">
        <v>45246</v>
      </c>
      <c r="D1597" s="1">
        <v>45675</v>
      </c>
      <c r="E1597">
        <v>68084.399999999994</v>
      </c>
      <c r="F1597">
        <f t="shared" si="73"/>
        <v>2023</v>
      </c>
      <c r="G1597">
        <f t="shared" si="74"/>
        <v>2025</v>
      </c>
      <c r="H1597">
        <f t="shared" si="72"/>
        <v>2</v>
      </c>
    </row>
    <row r="1598" spans="1:8" x14ac:dyDescent="0.25">
      <c r="A1598" t="s">
        <v>2488</v>
      </c>
      <c r="B1598" s="1">
        <v>44653</v>
      </c>
      <c r="C1598" s="1">
        <v>44704</v>
      </c>
      <c r="D1598" s="1">
        <v>44857</v>
      </c>
      <c r="E1598">
        <v>3179.8</v>
      </c>
      <c r="F1598">
        <f t="shared" si="73"/>
        <v>2022</v>
      </c>
      <c r="G1598">
        <f t="shared" si="74"/>
        <v>2022</v>
      </c>
      <c r="H1598">
        <f t="shared" si="72"/>
        <v>0</v>
      </c>
    </row>
    <row r="1599" spans="1:8" x14ac:dyDescent="0.25">
      <c r="A1599" t="s">
        <v>2812</v>
      </c>
      <c r="B1599" s="1">
        <v>44763</v>
      </c>
      <c r="C1599" s="1">
        <v>44782</v>
      </c>
      <c r="D1599" s="1">
        <v>44860</v>
      </c>
      <c r="E1599">
        <v>56772.18</v>
      </c>
      <c r="F1599">
        <f t="shared" si="73"/>
        <v>2022</v>
      </c>
      <c r="G1599">
        <f t="shared" si="74"/>
        <v>2022</v>
      </c>
      <c r="H1599">
        <f t="shared" si="72"/>
        <v>0</v>
      </c>
    </row>
    <row r="1600" spans="1:8" x14ac:dyDescent="0.25">
      <c r="A1600" t="s">
        <v>2458</v>
      </c>
      <c r="B1600" s="1">
        <v>44456</v>
      </c>
      <c r="C1600" s="1">
        <v>44510</v>
      </c>
      <c r="D1600" s="1">
        <v>44982</v>
      </c>
      <c r="E1600">
        <v>51890.26</v>
      </c>
      <c r="F1600">
        <f t="shared" si="73"/>
        <v>2021</v>
      </c>
      <c r="G1600">
        <f t="shared" si="74"/>
        <v>2023</v>
      </c>
      <c r="H1600">
        <f t="shared" si="72"/>
        <v>2</v>
      </c>
    </row>
    <row r="1601" spans="1:8" x14ac:dyDescent="0.25">
      <c r="A1601" t="s">
        <v>2554</v>
      </c>
      <c r="B1601" s="1">
        <v>45558</v>
      </c>
      <c r="C1601" s="1">
        <v>45591</v>
      </c>
      <c r="D1601" s="1">
        <v>45763</v>
      </c>
      <c r="E1601">
        <v>78517.45</v>
      </c>
      <c r="F1601">
        <f t="shared" si="73"/>
        <v>2024</v>
      </c>
      <c r="G1601">
        <f t="shared" si="74"/>
        <v>2025</v>
      </c>
      <c r="H1601">
        <f t="shared" si="72"/>
        <v>1</v>
      </c>
    </row>
    <row r="1602" spans="1:8" x14ac:dyDescent="0.25">
      <c r="A1602" t="s">
        <v>2188</v>
      </c>
      <c r="B1602" s="1">
        <v>45008</v>
      </c>
      <c r="C1602" s="1">
        <v>45031</v>
      </c>
      <c r="D1602" s="1">
        <v>45375</v>
      </c>
      <c r="E1602">
        <v>40921.230000000003</v>
      </c>
      <c r="F1602">
        <f t="shared" si="73"/>
        <v>2023</v>
      </c>
      <c r="G1602">
        <f t="shared" si="74"/>
        <v>2024</v>
      </c>
      <c r="H1602">
        <f t="shared" ref="H1602:H1665" si="75">MAX(0,G1602-F1602)</f>
        <v>1</v>
      </c>
    </row>
    <row r="1603" spans="1:8" x14ac:dyDescent="0.25">
      <c r="A1603" t="s">
        <v>2820</v>
      </c>
      <c r="B1603" s="1">
        <v>44735</v>
      </c>
      <c r="C1603" s="1">
        <v>44777</v>
      </c>
      <c r="D1603" s="1">
        <v>45134</v>
      </c>
      <c r="E1603">
        <v>42853.04</v>
      </c>
      <c r="F1603">
        <f t="shared" ref="F1603:F1666" si="76">YEAR(B1603)</f>
        <v>2022</v>
      </c>
      <c r="G1603">
        <f t="shared" ref="G1603:G1666" si="77">YEAR(D1603)</f>
        <v>2023</v>
      </c>
      <c r="H1603">
        <f t="shared" si="75"/>
        <v>1</v>
      </c>
    </row>
    <row r="1604" spans="1:8" x14ac:dyDescent="0.25">
      <c r="A1604" t="s">
        <v>2687</v>
      </c>
      <c r="B1604" s="1">
        <v>44948</v>
      </c>
      <c r="C1604" s="1">
        <v>45007</v>
      </c>
      <c r="D1604" s="1">
        <v>45441</v>
      </c>
      <c r="E1604">
        <v>27195.71</v>
      </c>
      <c r="F1604">
        <f t="shared" si="76"/>
        <v>2023</v>
      </c>
      <c r="G1604">
        <f t="shared" si="77"/>
        <v>2024</v>
      </c>
      <c r="H1604">
        <f t="shared" si="75"/>
        <v>1</v>
      </c>
    </row>
    <row r="1605" spans="1:8" x14ac:dyDescent="0.25">
      <c r="A1605" t="s">
        <v>2339</v>
      </c>
      <c r="B1605" s="1">
        <v>44241</v>
      </c>
      <c r="C1605" s="1">
        <v>44272</v>
      </c>
      <c r="D1605" s="1">
        <v>44330</v>
      </c>
      <c r="E1605">
        <v>78393.3</v>
      </c>
      <c r="F1605">
        <f t="shared" si="76"/>
        <v>2021</v>
      </c>
      <c r="G1605">
        <f t="shared" si="77"/>
        <v>2021</v>
      </c>
      <c r="H1605">
        <f t="shared" si="75"/>
        <v>0</v>
      </c>
    </row>
    <row r="1606" spans="1:8" x14ac:dyDescent="0.25">
      <c r="A1606" t="s">
        <v>2599</v>
      </c>
      <c r="B1606" s="1">
        <v>44310</v>
      </c>
      <c r="C1606" s="1">
        <v>44327</v>
      </c>
      <c r="D1606" s="1">
        <v>44867</v>
      </c>
      <c r="E1606">
        <v>45580.71</v>
      </c>
      <c r="F1606">
        <f t="shared" si="76"/>
        <v>2021</v>
      </c>
      <c r="G1606">
        <f t="shared" si="77"/>
        <v>2022</v>
      </c>
      <c r="H1606">
        <f t="shared" si="75"/>
        <v>1</v>
      </c>
    </row>
    <row r="1607" spans="1:8" x14ac:dyDescent="0.25">
      <c r="A1607" t="s">
        <v>2369</v>
      </c>
      <c r="B1607" s="1">
        <v>43902</v>
      </c>
      <c r="C1607" s="1">
        <v>43977</v>
      </c>
      <c r="D1607" s="1">
        <v>44186</v>
      </c>
      <c r="E1607">
        <v>82161.95</v>
      </c>
      <c r="F1607">
        <f t="shared" si="76"/>
        <v>2020</v>
      </c>
      <c r="G1607">
        <f t="shared" si="77"/>
        <v>2020</v>
      </c>
      <c r="H1607">
        <f t="shared" si="75"/>
        <v>0</v>
      </c>
    </row>
    <row r="1608" spans="1:8" x14ac:dyDescent="0.25">
      <c r="A1608" t="s">
        <v>2816</v>
      </c>
      <c r="B1608" s="1">
        <v>44507</v>
      </c>
      <c r="C1608" s="1">
        <v>44593</v>
      </c>
      <c r="D1608" s="1">
        <v>44862</v>
      </c>
      <c r="E1608">
        <v>-11836.78</v>
      </c>
      <c r="F1608">
        <f t="shared" si="76"/>
        <v>2021</v>
      </c>
      <c r="G1608">
        <f t="shared" si="77"/>
        <v>2022</v>
      </c>
      <c r="H1608">
        <f t="shared" si="75"/>
        <v>1</v>
      </c>
    </row>
    <row r="1609" spans="1:8" x14ac:dyDescent="0.25">
      <c r="A1609" t="s">
        <v>2171</v>
      </c>
      <c r="B1609" s="1">
        <v>43997</v>
      </c>
      <c r="C1609" s="1">
        <v>44082</v>
      </c>
      <c r="D1609" s="1">
        <v>44462</v>
      </c>
      <c r="E1609">
        <v>66824.14</v>
      </c>
      <c r="F1609">
        <f t="shared" si="76"/>
        <v>2020</v>
      </c>
      <c r="G1609">
        <f t="shared" si="77"/>
        <v>2021</v>
      </c>
      <c r="H1609">
        <f t="shared" si="75"/>
        <v>1</v>
      </c>
    </row>
    <row r="1610" spans="1:8" x14ac:dyDescent="0.25">
      <c r="A1610" t="s">
        <v>2816</v>
      </c>
      <c r="B1610" s="1">
        <v>44507</v>
      </c>
      <c r="C1610" s="1">
        <v>44593</v>
      </c>
      <c r="D1610" s="1">
        <v>45011</v>
      </c>
      <c r="E1610">
        <v>73000.490000000005</v>
      </c>
      <c r="F1610">
        <f t="shared" si="76"/>
        <v>2021</v>
      </c>
      <c r="G1610">
        <f t="shared" si="77"/>
        <v>2023</v>
      </c>
      <c r="H1610">
        <f t="shared" si="75"/>
        <v>2</v>
      </c>
    </row>
    <row r="1611" spans="1:8" x14ac:dyDescent="0.25">
      <c r="A1611" t="s">
        <v>2713</v>
      </c>
      <c r="B1611" s="1">
        <v>45050</v>
      </c>
      <c r="C1611" s="1">
        <v>45055</v>
      </c>
      <c r="D1611" s="1">
        <v>45137</v>
      </c>
      <c r="E1611">
        <v>48905.36</v>
      </c>
      <c r="F1611">
        <f t="shared" si="76"/>
        <v>2023</v>
      </c>
      <c r="G1611">
        <f t="shared" si="77"/>
        <v>2023</v>
      </c>
      <c r="H1611">
        <f t="shared" si="75"/>
        <v>0</v>
      </c>
    </row>
    <row r="1612" spans="1:8" x14ac:dyDescent="0.25">
      <c r="A1612" t="s">
        <v>2498</v>
      </c>
      <c r="B1612" s="1">
        <v>44990</v>
      </c>
      <c r="C1612" s="1">
        <v>44998</v>
      </c>
      <c r="D1612" s="1">
        <v>45225</v>
      </c>
      <c r="E1612">
        <v>12167.08</v>
      </c>
      <c r="F1612">
        <f t="shared" si="76"/>
        <v>2023</v>
      </c>
      <c r="G1612">
        <f t="shared" si="77"/>
        <v>2023</v>
      </c>
      <c r="H1612">
        <f t="shared" si="75"/>
        <v>0</v>
      </c>
    </row>
    <row r="1613" spans="1:8" x14ac:dyDescent="0.25">
      <c r="A1613" t="s">
        <v>2549</v>
      </c>
      <c r="B1613" s="1">
        <v>43880</v>
      </c>
      <c r="C1613" s="1">
        <v>43935</v>
      </c>
      <c r="D1613" s="1">
        <v>44283</v>
      </c>
      <c r="E1613">
        <v>18863.169999999998</v>
      </c>
      <c r="F1613">
        <f t="shared" si="76"/>
        <v>2020</v>
      </c>
      <c r="G1613">
        <f t="shared" si="77"/>
        <v>2021</v>
      </c>
      <c r="H1613">
        <f t="shared" si="75"/>
        <v>1</v>
      </c>
    </row>
    <row r="1614" spans="1:8" x14ac:dyDescent="0.25">
      <c r="A1614" t="s">
        <v>2609</v>
      </c>
      <c r="B1614" s="1">
        <v>43933</v>
      </c>
      <c r="C1614" s="1">
        <v>44002</v>
      </c>
      <c r="D1614" s="1">
        <v>44191</v>
      </c>
      <c r="E1614">
        <v>3407.23</v>
      </c>
      <c r="F1614">
        <f t="shared" si="76"/>
        <v>2020</v>
      </c>
      <c r="G1614">
        <f t="shared" si="77"/>
        <v>2020</v>
      </c>
      <c r="H1614">
        <f t="shared" si="75"/>
        <v>0</v>
      </c>
    </row>
    <row r="1615" spans="1:8" x14ac:dyDescent="0.25">
      <c r="A1615" t="s">
        <v>2469</v>
      </c>
      <c r="B1615" s="1">
        <v>44075</v>
      </c>
      <c r="C1615" s="1">
        <v>44145</v>
      </c>
      <c r="D1615" s="1">
        <v>44490</v>
      </c>
      <c r="E1615">
        <v>-2751.8</v>
      </c>
      <c r="F1615">
        <f t="shared" si="76"/>
        <v>2020</v>
      </c>
      <c r="G1615">
        <f t="shared" si="77"/>
        <v>2021</v>
      </c>
      <c r="H1615">
        <f t="shared" si="75"/>
        <v>1</v>
      </c>
    </row>
    <row r="1616" spans="1:8" x14ac:dyDescent="0.25">
      <c r="A1616" t="s">
        <v>2304</v>
      </c>
      <c r="B1616" s="1">
        <v>44756</v>
      </c>
      <c r="C1616" s="1">
        <v>44829</v>
      </c>
      <c r="D1616" s="1">
        <v>45052</v>
      </c>
      <c r="E1616">
        <v>59023.519999999997</v>
      </c>
      <c r="F1616">
        <f t="shared" si="76"/>
        <v>2022</v>
      </c>
      <c r="G1616">
        <f t="shared" si="77"/>
        <v>2023</v>
      </c>
      <c r="H1616">
        <f t="shared" si="75"/>
        <v>1</v>
      </c>
    </row>
    <row r="1617" spans="1:8" x14ac:dyDescent="0.25">
      <c r="A1617" t="s">
        <v>2508</v>
      </c>
      <c r="B1617" s="1">
        <v>43978</v>
      </c>
      <c r="C1617" s="1">
        <v>44065</v>
      </c>
      <c r="D1617" s="1">
        <v>44399</v>
      </c>
      <c r="E1617">
        <v>-17341.919999999998</v>
      </c>
      <c r="F1617">
        <f t="shared" si="76"/>
        <v>2020</v>
      </c>
      <c r="G1617">
        <f t="shared" si="77"/>
        <v>2021</v>
      </c>
      <c r="H1617">
        <f t="shared" si="75"/>
        <v>1</v>
      </c>
    </row>
    <row r="1618" spans="1:8" x14ac:dyDescent="0.25">
      <c r="A1618" t="s">
        <v>2845</v>
      </c>
      <c r="B1618" s="1">
        <v>44241</v>
      </c>
      <c r="C1618" s="1">
        <v>44301</v>
      </c>
      <c r="D1618" s="1">
        <v>44634</v>
      </c>
      <c r="E1618">
        <v>-23139.360000000001</v>
      </c>
      <c r="F1618">
        <f t="shared" si="76"/>
        <v>2021</v>
      </c>
      <c r="G1618">
        <f t="shared" si="77"/>
        <v>2022</v>
      </c>
      <c r="H1618">
        <f t="shared" si="75"/>
        <v>1</v>
      </c>
    </row>
    <row r="1619" spans="1:8" x14ac:dyDescent="0.25">
      <c r="A1619" t="s">
        <v>2338</v>
      </c>
      <c r="B1619" s="1">
        <v>44438</v>
      </c>
      <c r="C1619" s="1">
        <v>44509</v>
      </c>
      <c r="D1619" s="1">
        <v>44579</v>
      </c>
      <c r="E1619">
        <v>68268.789999999994</v>
      </c>
      <c r="F1619">
        <f t="shared" si="76"/>
        <v>2021</v>
      </c>
      <c r="G1619">
        <f t="shared" si="77"/>
        <v>2022</v>
      </c>
      <c r="H1619">
        <f t="shared" si="75"/>
        <v>1</v>
      </c>
    </row>
    <row r="1620" spans="1:8" x14ac:dyDescent="0.25">
      <c r="A1620" t="s">
        <v>2770</v>
      </c>
      <c r="B1620" s="1">
        <v>45446</v>
      </c>
      <c r="C1620" s="1">
        <v>45493</v>
      </c>
      <c r="D1620" s="1">
        <v>45704</v>
      </c>
      <c r="E1620">
        <v>23189.71</v>
      </c>
      <c r="F1620">
        <f t="shared" si="76"/>
        <v>2024</v>
      </c>
      <c r="G1620">
        <f t="shared" si="77"/>
        <v>2025</v>
      </c>
      <c r="H1620">
        <f t="shared" si="75"/>
        <v>1</v>
      </c>
    </row>
    <row r="1621" spans="1:8" x14ac:dyDescent="0.25">
      <c r="A1621" t="s">
        <v>2861</v>
      </c>
      <c r="B1621" s="1">
        <v>44743</v>
      </c>
      <c r="C1621" s="1">
        <v>44747</v>
      </c>
      <c r="D1621" s="1">
        <v>44870</v>
      </c>
      <c r="E1621">
        <v>75388.02</v>
      </c>
      <c r="F1621">
        <f t="shared" si="76"/>
        <v>2022</v>
      </c>
      <c r="G1621">
        <f t="shared" si="77"/>
        <v>2022</v>
      </c>
      <c r="H1621">
        <f t="shared" si="75"/>
        <v>0</v>
      </c>
    </row>
    <row r="1622" spans="1:8" x14ac:dyDescent="0.25">
      <c r="A1622" t="s">
        <v>2619</v>
      </c>
      <c r="B1622" s="1">
        <v>45037</v>
      </c>
      <c r="C1622" s="1">
        <v>45103</v>
      </c>
      <c r="D1622" s="1">
        <v>45310</v>
      </c>
      <c r="E1622">
        <v>17846.25</v>
      </c>
      <c r="F1622">
        <f t="shared" si="76"/>
        <v>2023</v>
      </c>
      <c r="G1622">
        <f t="shared" si="77"/>
        <v>2024</v>
      </c>
      <c r="H1622">
        <f t="shared" si="75"/>
        <v>1</v>
      </c>
    </row>
    <row r="1623" spans="1:8" x14ac:dyDescent="0.25">
      <c r="A1623" t="s">
        <v>2373</v>
      </c>
      <c r="B1623" s="1">
        <v>44299</v>
      </c>
      <c r="C1623" s="1">
        <v>44373</v>
      </c>
      <c r="D1623" s="1">
        <v>44544</v>
      </c>
      <c r="E1623">
        <v>-17928.75</v>
      </c>
      <c r="F1623">
        <f t="shared" si="76"/>
        <v>2021</v>
      </c>
      <c r="G1623">
        <f t="shared" si="77"/>
        <v>2021</v>
      </c>
      <c r="H1623">
        <f t="shared" si="75"/>
        <v>0</v>
      </c>
    </row>
    <row r="1624" spans="1:8" x14ac:dyDescent="0.25">
      <c r="A1624" t="s">
        <v>2676</v>
      </c>
      <c r="B1624" s="1">
        <v>44679</v>
      </c>
      <c r="C1624" s="1">
        <v>44716</v>
      </c>
      <c r="D1624" s="1">
        <v>44789</v>
      </c>
      <c r="E1624">
        <v>55598.400000000001</v>
      </c>
      <c r="F1624">
        <f t="shared" si="76"/>
        <v>2022</v>
      </c>
      <c r="G1624">
        <f t="shared" si="77"/>
        <v>2022</v>
      </c>
      <c r="H1624">
        <f t="shared" si="75"/>
        <v>0</v>
      </c>
    </row>
    <row r="1625" spans="1:8" x14ac:dyDescent="0.25">
      <c r="A1625" t="s">
        <v>2298</v>
      </c>
      <c r="B1625" s="1">
        <v>45153</v>
      </c>
      <c r="C1625" s="1">
        <v>45165</v>
      </c>
      <c r="D1625" s="1">
        <v>45198</v>
      </c>
      <c r="E1625">
        <v>26685.59</v>
      </c>
      <c r="F1625">
        <f t="shared" si="76"/>
        <v>2023</v>
      </c>
      <c r="G1625">
        <f t="shared" si="77"/>
        <v>2023</v>
      </c>
      <c r="H1625">
        <f t="shared" si="75"/>
        <v>0</v>
      </c>
    </row>
    <row r="1626" spans="1:8" x14ac:dyDescent="0.25">
      <c r="A1626" t="s">
        <v>2862</v>
      </c>
      <c r="B1626" s="1">
        <v>45533</v>
      </c>
      <c r="C1626" s="1">
        <v>45546</v>
      </c>
      <c r="D1626" s="1">
        <v>45735</v>
      </c>
      <c r="E1626">
        <v>49172.01</v>
      </c>
      <c r="F1626">
        <f t="shared" si="76"/>
        <v>2024</v>
      </c>
      <c r="G1626">
        <f t="shared" si="77"/>
        <v>2025</v>
      </c>
      <c r="H1626">
        <f t="shared" si="75"/>
        <v>1</v>
      </c>
    </row>
    <row r="1627" spans="1:8" x14ac:dyDescent="0.25">
      <c r="A1627" t="s">
        <v>2799</v>
      </c>
      <c r="B1627" s="1">
        <v>44708</v>
      </c>
      <c r="D1627" s="1">
        <v>44978</v>
      </c>
      <c r="E1627">
        <v>-16871.23</v>
      </c>
      <c r="F1627">
        <f t="shared" si="76"/>
        <v>2022</v>
      </c>
      <c r="G1627">
        <f t="shared" si="77"/>
        <v>2023</v>
      </c>
      <c r="H1627">
        <f t="shared" si="75"/>
        <v>1</v>
      </c>
    </row>
    <row r="1628" spans="1:8" x14ac:dyDescent="0.25">
      <c r="A1628" t="s">
        <v>2397</v>
      </c>
      <c r="B1628" s="1">
        <v>44115</v>
      </c>
      <c r="C1628" s="1">
        <v>44192</v>
      </c>
      <c r="D1628" s="1">
        <v>44455</v>
      </c>
      <c r="E1628">
        <v>43750.15</v>
      </c>
      <c r="F1628">
        <f t="shared" si="76"/>
        <v>2020</v>
      </c>
      <c r="G1628">
        <f t="shared" si="77"/>
        <v>2021</v>
      </c>
      <c r="H1628">
        <f t="shared" si="75"/>
        <v>1</v>
      </c>
    </row>
    <row r="1629" spans="1:8" x14ac:dyDescent="0.25">
      <c r="A1629" t="s">
        <v>2255</v>
      </c>
      <c r="B1629" s="1">
        <v>44913</v>
      </c>
      <c r="C1629" s="1">
        <v>44942</v>
      </c>
      <c r="D1629" s="1">
        <v>45240</v>
      </c>
      <c r="E1629">
        <v>3461.93</v>
      </c>
      <c r="F1629">
        <f t="shared" si="76"/>
        <v>2022</v>
      </c>
      <c r="G1629">
        <f t="shared" si="77"/>
        <v>2023</v>
      </c>
      <c r="H1629">
        <f t="shared" si="75"/>
        <v>1</v>
      </c>
    </row>
    <row r="1630" spans="1:8" x14ac:dyDescent="0.25">
      <c r="A1630" t="s">
        <v>2784</v>
      </c>
      <c r="B1630" s="1">
        <v>45140</v>
      </c>
      <c r="C1630" s="1">
        <v>45185</v>
      </c>
      <c r="D1630" s="1">
        <v>45339</v>
      </c>
      <c r="E1630">
        <v>25392.36</v>
      </c>
      <c r="F1630">
        <f t="shared" si="76"/>
        <v>2023</v>
      </c>
      <c r="G1630">
        <f t="shared" si="77"/>
        <v>2024</v>
      </c>
      <c r="H1630">
        <f t="shared" si="75"/>
        <v>1</v>
      </c>
    </row>
    <row r="1631" spans="1:8" x14ac:dyDescent="0.25">
      <c r="A1631" t="s">
        <v>2699</v>
      </c>
      <c r="B1631" s="1">
        <v>43836</v>
      </c>
      <c r="C1631" s="1">
        <v>43895</v>
      </c>
      <c r="D1631" s="1">
        <v>44530</v>
      </c>
      <c r="E1631">
        <v>42097.82</v>
      </c>
      <c r="F1631">
        <f t="shared" si="76"/>
        <v>2020</v>
      </c>
      <c r="G1631">
        <f t="shared" si="77"/>
        <v>2021</v>
      </c>
      <c r="H1631">
        <f t="shared" si="75"/>
        <v>1</v>
      </c>
    </row>
    <row r="1632" spans="1:8" x14ac:dyDescent="0.25">
      <c r="A1632" t="s">
        <v>2228</v>
      </c>
      <c r="B1632" s="1">
        <v>45097</v>
      </c>
      <c r="C1632" s="1">
        <v>45117</v>
      </c>
      <c r="D1632" s="1">
        <v>45289</v>
      </c>
      <c r="E1632">
        <v>-20622.669999999998</v>
      </c>
      <c r="F1632">
        <f t="shared" si="76"/>
        <v>2023</v>
      </c>
      <c r="G1632">
        <f t="shared" si="77"/>
        <v>2023</v>
      </c>
      <c r="H1632">
        <f t="shared" si="75"/>
        <v>0</v>
      </c>
    </row>
    <row r="1633" spans="1:8" x14ac:dyDescent="0.25">
      <c r="A1633" t="s">
        <v>2799</v>
      </c>
      <c r="B1633" s="1">
        <v>44708</v>
      </c>
      <c r="D1633" s="1">
        <v>44863</v>
      </c>
      <c r="E1633">
        <v>18523.740000000002</v>
      </c>
      <c r="F1633">
        <f t="shared" si="76"/>
        <v>2022</v>
      </c>
      <c r="G1633">
        <f t="shared" si="77"/>
        <v>2022</v>
      </c>
      <c r="H1633">
        <f t="shared" si="75"/>
        <v>0</v>
      </c>
    </row>
    <row r="1634" spans="1:8" x14ac:dyDescent="0.25">
      <c r="A1634" t="s">
        <v>2272</v>
      </c>
      <c r="B1634" s="1">
        <v>45500</v>
      </c>
      <c r="C1634" s="1">
        <v>45551</v>
      </c>
      <c r="D1634" s="1">
        <v>45696</v>
      </c>
      <c r="E1634">
        <v>27546.15</v>
      </c>
      <c r="F1634">
        <f t="shared" si="76"/>
        <v>2024</v>
      </c>
      <c r="G1634">
        <f t="shared" si="77"/>
        <v>2025</v>
      </c>
      <c r="H1634">
        <f t="shared" si="75"/>
        <v>1</v>
      </c>
    </row>
    <row r="1635" spans="1:8" x14ac:dyDescent="0.25">
      <c r="A1635" t="s">
        <v>2479</v>
      </c>
      <c r="B1635" s="1">
        <v>44797</v>
      </c>
      <c r="C1635" s="1">
        <v>44840</v>
      </c>
      <c r="D1635" s="1">
        <v>45077</v>
      </c>
      <c r="E1635">
        <v>46366.54</v>
      </c>
      <c r="F1635">
        <f t="shared" si="76"/>
        <v>2022</v>
      </c>
      <c r="G1635">
        <f t="shared" si="77"/>
        <v>2023</v>
      </c>
      <c r="H1635">
        <f t="shared" si="75"/>
        <v>1</v>
      </c>
    </row>
    <row r="1636" spans="1:8" x14ac:dyDescent="0.25">
      <c r="A1636" t="s">
        <v>2340</v>
      </c>
      <c r="B1636" s="1">
        <v>45136</v>
      </c>
      <c r="C1636" s="1">
        <v>45209</v>
      </c>
      <c r="D1636" s="1">
        <v>45742</v>
      </c>
      <c r="E1636">
        <v>74692.850000000006</v>
      </c>
      <c r="F1636">
        <f t="shared" si="76"/>
        <v>2023</v>
      </c>
      <c r="G1636">
        <f t="shared" si="77"/>
        <v>2025</v>
      </c>
      <c r="H1636">
        <f t="shared" si="75"/>
        <v>2</v>
      </c>
    </row>
    <row r="1637" spans="1:8" x14ac:dyDescent="0.25">
      <c r="A1637" t="s">
        <v>2218</v>
      </c>
      <c r="B1637" s="1">
        <v>44192</v>
      </c>
      <c r="C1637" s="1">
        <v>44226</v>
      </c>
      <c r="D1637" s="1">
        <v>44407</v>
      </c>
      <c r="E1637">
        <v>-1397.65</v>
      </c>
      <c r="F1637">
        <f t="shared" si="76"/>
        <v>2020</v>
      </c>
      <c r="G1637">
        <f t="shared" si="77"/>
        <v>2021</v>
      </c>
      <c r="H1637">
        <f t="shared" si="75"/>
        <v>1</v>
      </c>
    </row>
    <row r="1638" spans="1:8" x14ac:dyDescent="0.25">
      <c r="A1638" t="s">
        <v>2828</v>
      </c>
      <c r="B1638" s="1">
        <v>45408</v>
      </c>
      <c r="C1638" s="1">
        <v>45439</v>
      </c>
      <c r="D1638" s="1">
        <v>45467</v>
      </c>
      <c r="E1638">
        <v>40411.64</v>
      </c>
      <c r="F1638">
        <f t="shared" si="76"/>
        <v>2024</v>
      </c>
      <c r="G1638">
        <f t="shared" si="77"/>
        <v>2024</v>
      </c>
      <c r="H1638">
        <f t="shared" si="75"/>
        <v>0</v>
      </c>
    </row>
    <row r="1639" spans="1:8" x14ac:dyDescent="0.25">
      <c r="A1639" t="s">
        <v>2333</v>
      </c>
      <c r="B1639" s="1">
        <v>45024</v>
      </c>
      <c r="D1639" s="1">
        <v>45317</v>
      </c>
      <c r="E1639">
        <v>44944.4</v>
      </c>
      <c r="F1639">
        <f t="shared" si="76"/>
        <v>2023</v>
      </c>
      <c r="G1639">
        <f t="shared" si="77"/>
        <v>2024</v>
      </c>
      <c r="H1639">
        <f t="shared" si="75"/>
        <v>1</v>
      </c>
    </row>
    <row r="1640" spans="1:8" x14ac:dyDescent="0.25">
      <c r="A1640" t="s">
        <v>2343</v>
      </c>
      <c r="B1640" s="1">
        <v>44526</v>
      </c>
      <c r="D1640" s="1">
        <v>45015</v>
      </c>
      <c r="E1640">
        <v>11326.82</v>
      </c>
      <c r="F1640">
        <f t="shared" si="76"/>
        <v>2021</v>
      </c>
      <c r="G1640">
        <f t="shared" si="77"/>
        <v>2023</v>
      </c>
      <c r="H1640">
        <f t="shared" si="75"/>
        <v>2</v>
      </c>
    </row>
    <row r="1641" spans="1:8" x14ac:dyDescent="0.25">
      <c r="A1641" t="s">
        <v>2496</v>
      </c>
      <c r="B1641" s="1">
        <v>44687</v>
      </c>
      <c r="C1641" s="1">
        <v>44738</v>
      </c>
      <c r="D1641" s="1">
        <v>45114</v>
      </c>
      <c r="E1641">
        <v>22917.88</v>
      </c>
      <c r="F1641">
        <f t="shared" si="76"/>
        <v>2022</v>
      </c>
      <c r="G1641">
        <f t="shared" si="77"/>
        <v>2023</v>
      </c>
      <c r="H1641">
        <f t="shared" si="75"/>
        <v>1</v>
      </c>
    </row>
    <row r="1642" spans="1:8" x14ac:dyDescent="0.25">
      <c r="A1642" t="s">
        <v>2657</v>
      </c>
      <c r="B1642" s="1">
        <v>44084</v>
      </c>
      <c r="C1642" s="1">
        <v>44156</v>
      </c>
      <c r="D1642" s="1">
        <v>44456</v>
      </c>
      <c r="E1642">
        <v>41774.160000000003</v>
      </c>
      <c r="F1642">
        <f t="shared" si="76"/>
        <v>2020</v>
      </c>
      <c r="G1642">
        <f t="shared" si="77"/>
        <v>2021</v>
      </c>
      <c r="H1642">
        <f t="shared" si="75"/>
        <v>1</v>
      </c>
    </row>
    <row r="1643" spans="1:8" x14ac:dyDescent="0.25">
      <c r="A1643" t="s">
        <v>2177</v>
      </c>
      <c r="B1643" s="1">
        <v>44810</v>
      </c>
      <c r="C1643" s="1">
        <v>44880</v>
      </c>
      <c r="D1643" s="1">
        <v>45249</v>
      </c>
      <c r="E1643">
        <v>7659.89</v>
      </c>
      <c r="F1643">
        <f t="shared" si="76"/>
        <v>2022</v>
      </c>
      <c r="G1643">
        <f t="shared" si="77"/>
        <v>2023</v>
      </c>
      <c r="H1643">
        <f t="shared" si="75"/>
        <v>1</v>
      </c>
    </row>
    <row r="1644" spans="1:8" x14ac:dyDescent="0.25">
      <c r="A1644" t="s">
        <v>2863</v>
      </c>
      <c r="B1644" s="1">
        <v>45210</v>
      </c>
      <c r="C1644" s="1">
        <v>45298</v>
      </c>
      <c r="D1644" s="1">
        <v>45486</v>
      </c>
      <c r="E1644">
        <v>73404.800000000003</v>
      </c>
      <c r="F1644">
        <f t="shared" si="76"/>
        <v>2023</v>
      </c>
      <c r="G1644">
        <f t="shared" si="77"/>
        <v>2024</v>
      </c>
      <c r="H1644">
        <f t="shared" si="75"/>
        <v>1</v>
      </c>
    </row>
    <row r="1645" spans="1:8" x14ac:dyDescent="0.25">
      <c r="A1645" t="s">
        <v>2864</v>
      </c>
      <c r="B1645" s="1">
        <v>45269</v>
      </c>
      <c r="C1645" s="1">
        <v>45346</v>
      </c>
      <c r="D1645" s="1">
        <v>45494</v>
      </c>
      <c r="E1645">
        <v>37848.620000000003</v>
      </c>
      <c r="F1645">
        <f t="shared" si="76"/>
        <v>2023</v>
      </c>
      <c r="G1645">
        <f t="shared" si="77"/>
        <v>2024</v>
      </c>
      <c r="H1645">
        <f t="shared" si="75"/>
        <v>1</v>
      </c>
    </row>
    <row r="1646" spans="1:8" x14ac:dyDescent="0.25">
      <c r="A1646" t="s">
        <v>2671</v>
      </c>
      <c r="B1646" s="1">
        <v>45455</v>
      </c>
      <c r="C1646" s="1">
        <v>45540</v>
      </c>
      <c r="D1646" s="1">
        <v>45609</v>
      </c>
      <c r="E1646">
        <v>24900.06</v>
      </c>
      <c r="F1646">
        <f t="shared" si="76"/>
        <v>2024</v>
      </c>
      <c r="G1646">
        <f t="shared" si="77"/>
        <v>2024</v>
      </c>
      <c r="H1646">
        <f t="shared" si="75"/>
        <v>0</v>
      </c>
    </row>
    <row r="1647" spans="1:8" x14ac:dyDescent="0.25">
      <c r="A1647" t="s">
        <v>2406</v>
      </c>
      <c r="B1647" s="1">
        <v>43834</v>
      </c>
      <c r="C1647" s="1">
        <v>43879</v>
      </c>
      <c r="D1647" s="1">
        <v>44149</v>
      </c>
      <c r="E1647">
        <v>54705.02</v>
      </c>
      <c r="F1647">
        <f t="shared" si="76"/>
        <v>2020</v>
      </c>
      <c r="G1647">
        <f t="shared" si="77"/>
        <v>2020</v>
      </c>
      <c r="H1647">
        <f t="shared" si="75"/>
        <v>0</v>
      </c>
    </row>
    <row r="1648" spans="1:8" x14ac:dyDescent="0.25">
      <c r="A1648" t="s">
        <v>2498</v>
      </c>
      <c r="B1648" s="1">
        <v>44990</v>
      </c>
      <c r="C1648" s="1">
        <v>44998</v>
      </c>
      <c r="D1648" s="1">
        <v>45350</v>
      </c>
      <c r="E1648">
        <v>39025.75</v>
      </c>
      <c r="F1648">
        <f t="shared" si="76"/>
        <v>2023</v>
      </c>
      <c r="G1648">
        <f t="shared" si="77"/>
        <v>2024</v>
      </c>
      <c r="H1648">
        <f t="shared" si="75"/>
        <v>1</v>
      </c>
    </row>
    <row r="1649" spans="1:8" x14ac:dyDescent="0.25">
      <c r="A1649" t="s">
        <v>2512</v>
      </c>
      <c r="B1649" s="1">
        <v>44561</v>
      </c>
      <c r="C1649" s="1">
        <v>44569</v>
      </c>
      <c r="D1649" s="1">
        <v>44658</v>
      </c>
      <c r="E1649">
        <v>21836.13</v>
      </c>
      <c r="F1649">
        <f t="shared" si="76"/>
        <v>2021</v>
      </c>
      <c r="G1649">
        <f t="shared" si="77"/>
        <v>2022</v>
      </c>
      <c r="H1649">
        <f t="shared" si="75"/>
        <v>1</v>
      </c>
    </row>
    <row r="1650" spans="1:8" x14ac:dyDescent="0.25">
      <c r="A1650" t="s">
        <v>2617</v>
      </c>
      <c r="B1650" s="1">
        <v>45311</v>
      </c>
      <c r="C1650" s="1">
        <v>45317</v>
      </c>
      <c r="D1650" s="1">
        <v>45684</v>
      </c>
      <c r="E1650">
        <v>17023.18</v>
      </c>
      <c r="F1650">
        <f t="shared" si="76"/>
        <v>2024</v>
      </c>
      <c r="G1650">
        <f t="shared" si="77"/>
        <v>2025</v>
      </c>
      <c r="H1650">
        <f t="shared" si="75"/>
        <v>1</v>
      </c>
    </row>
    <row r="1651" spans="1:8" x14ac:dyDescent="0.25">
      <c r="A1651" t="s">
        <v>2730</v>
      </c>
      <c r="B1651" s="1">
        <v>45273</v>
      </c>
      <c r="D1651" s="1">
        <v>45674</v>
      </c>
      <c r="E1651">
        <v>65451.55</v>
      </c>
      <c r="F1651">
        <f t="shared" si="76"/>
        <v>2023</v>
      </c>
      <c r="G1651">
        <f t="shared" si="77"/>
        <v>2025</v>
      </c>
      <c r="H1651">
        <f t="shared" si="75"/>
        <v>2</v>
      </c>
    </row>
    <row r="1652" spans="1:8" x14ac:dyDescent="0.25">
      <c r="A1652" t="s">
        <v>2492</v>
      </c>
      <c r="B1652" s="1">
        <v>44136</v>
      </c>
      <c r="C1652" s="1">
        <v>44158</v>
      </c>
      <c r="D1652" s="1">
        <v>44255</v>
      </c>
      <c r="E1652">
        <v>69951.7</v>
      </c>
      <c r="F1652">
        <f t="shared" si="76"/>
        <v>2020</v>
      </c>
      <c r="G1652">
        <f t="shared" si="77"/>
        <v>2021</v>
      </c>
      <c r="H1652">
        <f t="shared" si="75"/>
        <v>1</v>
      </c>
    </row>
    <row r="1653" spans="1:8" x14ac:dyDescent="0.25">
      <c r="A1653" t="s">
        <v>2260</v>
      </c>
      <c r="B1653" s="1">
        <v>44978</v>
      </c>
      <c r="C1653" s="1">
        <v>45024</v>
      </c>
      <c r="D1653" s="1">
        <v>45280</v>
      </c>
      <c r="E1653">
        <v>25942.38</v>
      </c>
      <c r="F1653">
        <f t="shared" si="76"/>
        <v>2023</v>
      </c>
      <c r="G1653">
        <f t="shared" si="77"/>
        <v>2023</v>
      </c>
      <c r="H1653">
        <f t="shared" si="75"/>
        <v>0</v>
      </c>
    </row>
    <row r="1654" spans="1:8" x14ac:dyDescent="0.25">
      <c r="A1654" t="s">
        <v>2865</v>
      </c>
      <c r="B1654" s="1">
        <v>45176</v>
      </c>
      <c r="C1654" s="1">
        <v>45196</v>
      </c>
      <c r="D1654" s="1">
        <v>45346</v>
      </c>
      <c r="E1654">
        <v>53189.14</v>
      </c>
      <c r="F1654">
        <f t="shared" si="76"/>
        <v>2023</v>
      </c>
      <c r="G1654">
        <f t="shared" si="77"/>
        <v>2024</v>
      </c>
      <c r="H1654">
        <f t="shared" si="75"/>
        <v>1</v>
      </c>
    </row>
    <row r="1655" spans="1:8" x14ac:dyDescent="0.25">
      <c r="A1655" t="s">
        <v>2866</v>
      </c>
      <c r="B1655" s="1">
        <v>45489</v>
      </c>
      <c r="C1655" s="1">
        <v>45545</v>
      </c>
      <c r="D1655" s="1">
        <v>45718</v>
      </c>
      <c r="E1655">
        <v>61569.64</v>
      </c>
      <c r="F1655">
        <f t="shared" si="76"/>
        <v>2024</v>
      </c>
      <c r="G1655">
        <f t="shared" si="77"/>
        <v>2025</v>
      </c>
      <c r="H1655">
        <f t="shared" si="75"/>
        <v>1</v>
      </c>
    </row>
    <row r="1656" spans="1:8" x14ac:dyDescent="0.25">
      <c r="A1656" t="s">
        <v>2867</v>
      </c>
      <c r="B1656" s="1">
        <v>44625</v>
      </c>
      <c r="C1656" s="1">
        <v>44634</v>
      </c>
      <c r="D1656" s="1">
        <v>44778</v>
      </c>
      <c r="E1656">
        <v>19565.810000000001</v>
      </c>
      <c r="F1656">
        <f t="shared" si="76"/>
        <v>2022</v>
      </c>
      <c r="G1656">
        <f t="shared" si="77"/>
        <v>2022</v>
      </c>
      <c r="H1656">
        <f t="shared" si="75"/>
        <v>0</v>
      </c>
    </row>
    <row r="1657" spans="1:8" x14ac:dyDescent="0.25">
      <c r="A1657" t="s">
        <v>2190</v>
      </c>
      <c r="B1657" s="1">
        <v>43865</v>
      </c>
      <c r="C1657" s="1">
        <v>43925</v>
      </c>
      <c r="D1657" s="1">
        <v>44423</v>
      </c>
      <c r="E1657">
        <v>51087.15</v>
      </c>
      <c r="F1657">
        <f t="shared" si="76"/>
        <v>2020</v>
      </c>
      <c r="G1657">
        <f t="shared" si="77"/>
        <v>2021</v>
      </c>
      <c r="H1657">
        <f t="shared" si="75"/>
        <v>1</v>
      </c>
    </row>
    <row r="1658" spans="1:8" x14ac:dyDescent="0.25">
      <c r="A1658" t="s">
        <v>2608</v>
      </c>
      <c r="B1658" s="1">
        <v>44728</v>
      </c>
      <c r="D1658" s="1">
        <v>45168</v>
      </c>
      <c r="E1658">
        <v>9869.34</v>
      </c>
      <c r="F1658">
        <f t="shared" si="76"/>
        <v>2022</v>
      </c>
      <c r="G1658">
        <f t="shared" si="77"/>
        <v>2023</v>
      </c>
      <c r="H1658">
        <f t="shared" si="75"/>
        <v>1</v>
      </c>
    </row>
    <row r="1659" spans="1:8" x14ac:dyDescent="0.25">
      <c r="A1659" t="s">
        <v>2782</v>
      </c>
      <c r="B1659" s="1">
        <v>43903</v>
      </c>
      <c r="C1659" s="1">
        <v>43921</v>
      </c>
      <c r="D1659" s="1">
        <v>44411</v>
      </c>
      <c r="E1659">
        <v>77062.97</v>
      </c>
      <c r="F1659">
        <f t="shared" si="76"/>
        <v>2020</v>
      </c>
      <c r="G1659">
        <f t="shared" si="77"/>
        <v>2021</v>
      </c>
      <c r="H1659">
        <f t="shared" si="75"/>
        <v>1</v>
      </c>
    </row>
    <row r="1660" spans="1:8" x14ac:dyDescent="0.25">
      <c r="A1660" t="s">
        <v>2808</v>
      </c>
      <c r="B1660" s="1">
        <v>43965</v>
      </c>
      <c r="C1660" s="1">
        <v>44051</v>
      </c>
      <c r="D1660" s="1">
        <v>44399</v>
      </c>
      <c r="E1660">
        <v>5612.88</v>
      </c>
      <c r="F1660">
        <f t="shared" si="76"/>
        <v>2020</v>
      </c>
      <c r="G1660">
        <f t="shared" si="77"/>
        <v>2021</v>
      </c>
      <c r="H1660">
        <f t="shared" si="75"/>
        <v>1</v>
      </c>
    </row>
    <row r="1661" spans="1:8" x14ac:dyDescent="0.25">
      <c r="A1661" t="s">
        <v>2868</v>
      </c>
      <c r="B1661" s="1">
        <v>45206</v>
      </c>
      <c r="C1661" s="1">
        <v>45250</v>
      </c>
      <c r="D1661" s="1">
        <v>45338</v>
      </c>
      <c r="E1661">
        <v>30714.76</v>
      </c>
      <c r="F1661">
        <f t="shared" si="76"/>
        <v>2023</v>
      </c>
      <c r="G1661">
        <f t="shared" si="77"/>
        <v>2024</v>
      </c>
      <c r="H1661">
        <f t="shared" si="75"/>
        <v>1</v>
      </c>
    </row>
    <row r="1662" spans="1:8" x14ac:dyDescent="0.25">
      <c r="A1662" t="s">
        <v>2696</v>
      </c>
      <c r="B1662" s="1">
        <v>44243</v>
      </c>
      <c r="C1662" s="1">
        <v>44262</v>
      </c>
      <c r="D1662" s="1">
        <v>44414</v>
      </c>
      <c r="E1662">
        <v>59460.97</v>
      </c>
      <c r="F1662">
        <f t="shared" si="76"/>
        <v>2021</v>
      </c>
      <c r="G1662">
        <f t="shared" si="77"/>
        <v>2021</v>
      </c>
      <c r="H1662">
        <f t="shared" si="75"/>
        <v>0</v>
      </c>
    </row>
    <row r="1663" spans="1:8" x14ac:dyDescent="0.25">
      <c r="A1663" t="s">
        <v>2691</v>
      </c>
      <c r="B1663" s="1">
        <v>44101</v>
      </c>
      <c r="C1663" s="1">
        <v>44144</v>
      </c>
      <c r="D1663" s="1">
        <v>44524</v>
      </c>
      <c r="E1663">
        <v>38605.449999999997</v>
      </c>
      <c r="F1663">
        <f t="shared" si="76"/>
        <v>2020</v>
      </c>
      <c r="G1663">
        <f t="shared" si="77"/>
        <v>2021</v>
      </c>
      <c r="H1663">
        <f t="shared" si="75"/>
        <v>1</v>
      </c>
    </row>
    <row r="1664" spans="1:8" x14ac:dyDescent="0.25">
      <c r="A1664" t="s">
        <v>2869</v>
      </c>
      <c r="B1664" s="1">
        <v>45002</v>
      </c>
      <c r="C1664" s="1">
        <v>45013</v>
      </c>
      <c r="D1664" s="1">
        <v>45389</v>
      </c>
      <c r="E1664">
        <v>69461.73</v>
      </c>
      <c r="F1664">
        <f t="shared" si="76"/>
        <v>2023</v>
      </c>
      <c r="G1664">
        <f t="shared" si="77"/>
        <v>2024</v>
      </c>
      <c r="H1664">
        <f t="shared" si="75"/>
        <v>1</v>
      </c>
    </row>
    <row r="1665" spans="1:8" x14ac:dyDescent="0.25">
      <c r="A1665" t="s">
        <v>2195</v>
      </c>
      <c r="B1665" s="1">
        <v>44263</v>
      </c>
      <c r="C1665" s="1">
        <v>44336</v>
      </c>
      <c r="D1665" s="1">
        <v>44582</v>
      </c>
      <c r="E1665">
        <v>52623.23</v>
      </c>
      <c r="F1665">
        <f t="shared" si="76"/>
        <v>2021</v>
      </c>
      <c r="G1665">
        <f t="shared" si="77"/>
        <v>2022</v>
      </c>
      <c r="H1665">
        <f t="shared" si="75"/>
        <v>1</v>
      </c>
    </row>
    <row r="1666" spans="1:8" x14ac:dyDescent="0.25">
      <c r="A1666" t="s">
        <v>2360</v>
      </c>
      <c r="B1666" s="1">
        <v>43944</v>
      </c>
      <c r="C1666" s="1">
        <v>43953</v>
      </c>
      <c r="D1666" s="1">
        <v>44338</v>
      </c>
      <c r="E1666">
        <v>-20816.75</v>
      </c>
      <c r="F1666">
        <f t="shared" si="76"/>
        <v>2020</v>
      </c>
      <c r="G1666">
        <f t="shared" si="77"/>
        <v>2021</v>
      </c>
      <c r="H1666">
        <f t="shared" ref="H1666:H1729" si="78">MAX(0,G1666-F1666)</f>
        <v>1</v>
      </c>
    </row>
    <row r="1667" spans="1:8" x14ac:dyDescent="0.25">
      <c r="A1667" t="s">
        <v>2397</v>
      </c>
      <c r="B1667" s="1">
        <v>44115</v>
      </c>
      <c r="C1667" s="1">
        <v>44192</v>
      </c>
      <c r="D1667" s="1">
        <v>44645</v>
      </c>
      <c r="E1667">
        <v>56566.97</v>
      </c>
      <c r="F1667">
        <f t="shared" ref="F1667:F1730" si="79">YEAR(B1667)</f>
        <v>2020</v>
      </c>
      <c r="G1667">
        <f t="shared" ref="G1667:G1730" si="80">YEAR(D1667)</f>
        <v>2022</v>
      </c>
      <c r="H1667">
        <f t="shared" si="78"/>
        <v>2</v>
      </c>
    </row>
    <row r="1668" spans="1:8" x14ac:dyDescent="0.25">
      <c r="A1668" t="s">
        <v>2870</v>
      </c>
      <c r="B1668" s="1">
        <v>45472</v>
      </c>
      <c r="D1668" s="1">
        <v>45670</v>
      </c>
      <c r="E1668">
        <v>-21507</v>
      </c>
      <c r="F1668">
        <f t="shared" si="79"/>
        <v>2024</v>
      </c>
      <c r="G1668">
        <f t="shared" si="80"/>
        <v>2025</v>
      </c>
      <c r="H1668">
        <f t="shared" si="78"/>
        <v>1</v>
      </c>
    </row>
    <row r="1669" spans="1:8" x14ac:dyDescent="0.25">
      <c r="A1669" t="s">
        <v>2330</v>
      </c>
      <c r="B1669" s="1">
        <v>45083</v>
      </c>
      <c r="C1669" s="1">
        <v>45157</v>
      </c>
      <c r="D1669" s="1">
        <v>45456</v>
      </c>
      <c r="E1669">
        <v>7613.83</v>
      </c>
      <c r="F1669">
        <f t="shared" si="79"/>
        <v>2023</v>
      </c>
      <c r="G1669">
        <f t="shared" si="80"/>
        <v>2024</v>
      </c>
      <c r="H1669">
        <f t="shared" si="78"/>
        <v>1</v>
      </c>
    </row>
    <row r="1670" spans="1:8" x14ac:dyDescent="0.25">
      <c r="A1670" t="s">
        <v>2310</v>
      </c>
      <c r="B1670" s="1">
        <v>45216</v>
      </c>
      <c r="C1670" s="1">
        <v>45277</v>
      </c>
      <c r="D1670" s="1">
        <v>45775</v>
      </c>
      <c r="E1670">
        <v>-18874.04</v>
      </c>
      <c r="F1670">
        <f t="shared" si="79"/>
        <v>2023</v>
      </c>
      <c r="G1670">
        <f t="shared" si="80"/>
        <v>2025</v>
      </c>
      <c r="H1670">
        <f t="shared" si="78"/>
        <v>2</v>
      </c>
    </row>
    <row r="1671" spans="1:8" x14ac:dyDescent="0.25">
      <c r="A1671" t="s">
        <v>2781</v>
      </c>
      <c r="B1671" s="1">
        <v>44651</v>
      </c>
      <c r="C1671" s="1">
        <v>44734</v>
      </c>
      <c r="D1671" s="1">
        <v>45032</v>
      </c>
      <c r="E1671">
        <v>63019.76</v>
      </c>
      <c r="F1671">
        <f t="shared" si="79"/>
        <v>2022</v>
      </c>
      <c r="G1671">
        <f t="shared" si="80"/>
        <v>2023</v>
      </c>
      <c r="H1671">
        <f t="shared" si="78"/>
        <v>1</v>
      </c>
    </row>
    <row r="1672" spans="1:8" x14ac:dyDescent="0.25">
      <c r="A1672" t="s">
        <v>2680</v>
      </c>
      <c r="B1672" s="1">
        <v>44849</v>
      </c>
      <c r="D1672" s="1">
        <v>45320</v>
      </c>
      <c r="E1672">
        <v>45558.400000000001</v>
      </c>
      <c r="F1672">
        <f t="shared" si="79"/>
        <v>2022</v>
      </c>
      <c r="G1672">
        <f t="shared" si="80"/>
        <v>2024</v>
      </c>
      <c r="H1672">
        <f t="shared" si="78"/>
        <v>2</v>
      </c>
    </row>
    <row r="1673" spans="1:8" x14ac:dyDescent="0.25">
      <c r="A1673" t="s">
        <v>2292</v>
      </c>
      <c r="B1673" s="1">
        <v>45065</v>
      </c>
      <c r="C1673" s="1">
        <v>45153</v>
      </c>
      <c r="D1673" s="1">
        <v>45350</v>
      </c>
      <c r="E1673">
        <v>-11257.66</v>
      </c>
      <c r="F1673">
        <f t="shared" si="79"/>
        <v>2023</v>
      </c>
      <c r="G1673">
        <f t="shared" si="80"/>
        <v>2024</v>
      </c>
      <c r="H1673">
        <f t="shared" si="78"/>
        <v>1</v>
      </c>
    </row>
    <row r="1674" spans="1:8" x14ac:dyDescent="0.25">
      <c r="A1674" t="s">
        <v>2340</v>
      </c>
      <c r="B1674" s="1">
        <v>45136</v>
      </c>
      <c r="C1674" s="1">
        <v>45209</v>
      </c>
      <c r="D1674" s="1">
        <v>45700</v>
      </c>
      <c r="E1674">
        <v>67438.19</v>
      </c>
      <c r="F1674">
        <f t="shared" si="79"/>
        <v>2023</v>
      </c>
      <c r="G1674">
        <f t="shared" si="80"/>
        <v>2025</v>
      </c>
      <c r="H1674">
        <f t="shared" si="78"/>
        <v>2</v>
      </c>
    </row>
    <row r="1675" spans="1:8" x14ac:dyDescent="0.25">
      <c r="A1675" t="s">
        <v>2871</v>
      </c>
      <c r="B1675" s="1">
        <v>45127</v>
      </c>
      <c r="C1675" s="1">
        <v>45214</v>
      </c>
      <c r="D1675" s="1">
        <v>45342</v>
      </c>
      <c r="E1675">
        <v>53420</v>
      </c>
      <c r="F1675">
        <f t="shared" si="79"/>
        <v>2023</v>
      </c>
      <c r="G1675">
        <f t="shared" si="80"/>
        <v>2024</v>
      </c>
      <c r="H1675">
        <f t="shared" si="78"/>
        <v>1</v>
      </c>
    </row>
    <row r="1676" spans="1:8" x14ac:dyDescent="0.25">
      <c r="A1676" t="s">
        <v>2348</v>
      </c>
      <c r="B1676" s="1">
        <v>44756</v>
      </c>
      <c r="C1676" s="1">
        <v>44771</v>
      </c>
      <c r="D1676" s="1">
        <v>44872</v>
      </c>
      <c r="E1676">
        <v>35657.370000000003</v>
      </c>
      <c r="F1676">
        <f t="shared" si="79"/>
        <v>2022</v>
      </c>
      <c r="G1676">
        <f t="shared" si="80"/>
        <v>2022</v>
      </c>
      <c r="H1676">
        <f t="shared" si="78"/>
        <v>0</v>
      </c>
    </row>
    <row r="1677" spans="1:8" x14ac:dyDescent="0.25">
      <c r="A1677" t="s">
        <v>2367</v>
      </c>
      <c r="B1677" s="1">
        <v>44469</v>
      </c>
      <c r="C1677" s="1">
        <v>44504</v>
      </c>
      <c r="D1677" s="1">
        <v>44591</v>
      </c>
      <c r="E1677">
        <v>-18779.560000000001</v>
      </c>
      <c r="F1677">
        <f t="shared" si="79"/>
        <v>2021</v>
      </c>
      <c r="G1677">
        <f t="shared" si="80"/>
        <v>2022</v>
      </c>
      <c r="H1677">
        <f t="shared" si="78"/>
        <v>1</v>
      </c>
    </row>
    <row r="1678" spans="1:8" x14ac:dyDescent="0.25">
      <c r="A1678" t="s">
        <v>2368</v>
      </c>
      <c r="B1678" s="1">
        <v>44247</v>
      </c>
      <c r="C1678" s="1">
        <v>44311</v>
      </c>
      <c r="D1678" s="1">
        <v>44561</v>
      </c>
      <c r="E1678">
        <v>37682.43</v>
      </c>
      <c r="F1678">
        <f t="shared" si="79"/>
        <v>2021</v>
      </c>
      <c r="G1678">
        <f t="shared" si="80"/>
        <v>2021</v>
      </c>
      <c r="H1678">
        <f t="shared" si="78"/>
        <v>0</v>
      </c>
    </row>
    <row r="1679" spans="1:8" x14ac:dyDescent="0.25">
      <c r="A1679" t="s">
        <v>2452</v>
      </c>
      <c r="B1679" s="1">
        <v>44714</v>
      </c>
      <c r="C1679" s="1">
        <v>44759</v>
      </c>
      <c r="D1679" s="1">
        <v>44997</v>
      </c>
      <c r="E1679">
        <v>66047.539999999994</v>
      </c>
      <c r="F1679">
        <f t="shared" si="79"/>
        <v>2022</v>
      </c>
      <c r="G1679">
        <f t="shared" si="80"/>
        <v>2023</v>
      </c>
      <c r="H1679">
        <f t="shared" si="78"/>
        <v>1</v>
      </c>
    </row>
    <row r="1680" spans="1:8" x14ac:dyDescent="0.25">
      <c r="A1680" t="s">
        <v>2199</v>
      </c>
      <c r="B1680" s="1">
        <v>44217</v>
      </c>
      <c r="C1680" s="1">
        <v>44288</v>
      </c>
      <c r="D1680" s="1">
        <v>44678</v>
      </c>
      <c r="E1680">
        <v>3595.19</v>
      </c>
      <c r="F1680">
        <f t="shared" si="79"/>
        <v>2021</v>
      </c>
      <c r="G1680">
        <f t="shared" si="80"/>
        <v>2022</v>
      </c>
      <c r="H1680">
        <f t="shared" si="78"/>
        <v>1</v>
      </c>
    </row>
    <row r="1681" spans="1:8" x14ac:dyDescent="0.25">
      <c r="A1681" t="s">
        <v>2563</v>
      </c>
      <c r="B1681" s="1">
        <v>44474</v>
      </c>
      <c r="C1681" s="1">
        <v>44534</v>
      </c>
      <c r="D1681" s="1">
        <v>44924</v>
      </c>
      <c r="E1681">
        <v>39759.46</v>
      </c>
      <c r="F1681">
        <f t="shared" si="79"/>
        <v>2021</v>
      </c>
      <c r="G1681">
        <f t="shared" si="80"/>
        <v>2022</v>
      </c>
      <c r="H1681">
        <f t="shared" si="78"/>
        <v>1</v>
      </c>
    </row>
    <row r="1682" spans="1:8" x14ac:dyDescent="0.25">
      <c r="A1682" t="s">
        <v>2361</v>
      </c>
      <c r="B1682" s="1">
        <v>44563</v>
      </c>
      <c r="C1682" s="1">
        <v>44571</v>
      </c>
      <c r="D1682" s="1">
        <v>44849</v>
      </c>
      <c r="E1682">
        <v>-24131.02</v>
      </c>
      <c r="F1682">
        <f t="shared" si="79"/>
        <v>2022</v>
      </c>
      <c r="G1682">
        <f t="shared" si="80"/>
        <v>2022</v>
      </c>
      <c r="H1682">
        <f t="shared" si="78"/>
        <v>0</v>
      </c>
    </row>
    <row r="1683" spans="1:8" x14ac:dyDescent="0.25">
      <c r="A1683" t="s">
        <v>2682</v>
      </c>
      <c r="B1683" s="1">
        <v>44305</v>
      </c>
      <c r="C1683" s="1">
        <v>44336</v>
      </c>
      <c r="D1683" s="1">
        <v>44847</v>
      </c>
      <c r="E1683">
        <v>32997.089999999997</v>
      </c>
      <c r="F1683">
        <f t="shared" si="79"/>
        <v>2021</v>
      </c>
      <c r="G1683">
        <f t="shared" si="80"/>
        <v>2022</v>
      </c>
      <c r="H1683">
        <f t="shared" si="78"/>
        <v>1</v>
      </c>
    </row>
    <row r="1684" spans="1:8" x14ac:dyDescent="0.25">
      <c r="A1684" t="s">
        <v>2233</v>
      </c>
      <c r="B1684" s="1">
        <v>44243</v>
      </c>
      <c r="C1684" s="1">
        <v>44301</v>
      </c>
      <c r="D1684" s="1">
        <v>44668</v>
      </c>
      <c r="E1684">
        <v>67330.05</v>
      </c>
      <c r="F1684">
        <f t="shared" si="79"/>
        <v>2021</v>
      </c>
      <c r="G1684">
        <f t="shared" si="80"/>
        <v>2022</v>
      </c>
      <c r="H1684">
        <f t="shared" si="78"/>
        <v>1</v>
      </c>
    </row>
    <row r="1685" spans="1:8" x14ac:dyDescent="0.25">
      <c r="A1685" t="s">
        <v>2872</v>
      </c>
      <c r="B1685" s="1">
        <v>44004</v>
      </c>
      <c r="C1685" s="1">
        <v>44048</v>
      </c>
      <c r="D1685" s="1">
        <v>44121</v>
      </c>
      <c r="E1685">
        <v>36479.769999999997</v>
      </c>
      <c r="F1685">
        <f t="shared" si="79"/>
        <v>2020</v>
      </c>
      <c r="G1685">
        <f t="shared" si="80"/>
        <v>2020</v>
      </c>
      <c r="H1685">
        <f t="shared" si="78"/>
        <v>0</v>
      </c>
    </row>
    <row r="1686" spans="1:8" x14ac:dyDescent="0.25">
      <c r="A1686" t="s">
        <v>2782</v>
      </c>
      <c r="B1686" s="1">
        <v>43903</v>
      </c>
      <c r="C1686" s="1">
        <v>43921</v>
      </c>
      <c r="D1686" s="1">
        <v>43947</v>
      </c>
      <c r="E1686">
        <v>-5701.58</v>
      </c>
      <c r="F1686">
        <f t="shared" si="79"/>
        <v>2020</v>
      </c>
      <c r="G1686">
        <f t="shared" si="80"/>
        <v>2020</v>
      </c>
      <c r="H1686">
        <f t="shared" si="78"/>
        <v>0</v>
      </c>
    </row>
    <row r="1687" spans="1:8" x14ac:dyDescent="0.25">
      <c r="A1687" t="s">
        <v>2825</v>
      </c>
      <c r="B1687" s="1">
        <v>43976</v>
      </c>
      <c r="C1687" s="1">
        <v>44037</v>
      </c>
      <c r="D1687" s="1">
        <v>44125</v>
      </c>
      <c r="E1687">
        <v>16869.02</v>
      </c>
      <c r="F1687">
        <f t="shared" si="79"/>
        <v>2020</v>
      </c>
      <c r="G1687">
        <f t="shared" si="80"/>
        <v>2020</v>
      </c>
      <c r="H1687">
        <f t="shared" si="78"/>
        <v>0</v>
      </c>
    </row>
    <row r="1688" spans="1:8" x14ac:dyDescent="0.25">
      <c r="A1688" t="s">
        <v>2672</v>
      </c>
      <c r="B1688" s="1">
        <v>45510</v>
      </c>
      <c r="C1688" s="1">
        <v>45588</v>
      </c>
      <c r="D1688" s="1">
        <v>45619</v>
      </c>
      <c r="E1688">
        <v>48071.87</v>
      </c>
      <c r="F1688">
        <f t="shared" si="79"/>
        <v>2024</v>
      </c>
      <c r="G1688">
        <f t="shared" si="80"/>
        <v>2024</v>
      </c>
      <c r="H1688">
        <f t="shared" si="78"/>
        <v>0</v>
      </c>
    </row>
    <row r="1689" spans="1:8" x14ac:dyDescent="0.25">
      <c r="A1689" t="s">
        <v>2873</v>
      </c>
      <c r="B1689" s="1">
        <v>44375</v>
      </c>
      <c r="C1689" s="1">
        <v>44391</v>
      </c>
      <c r="D1689" s="1">
        <v>44418</v>
      </c>
      <c r="E1689">
        <v>11793.92</v>
      </c>
      <c r="F1689">
        <f t="shared" si="79"/>
        <v>2021</v>
      </c>
      <c r="G1689">
        <f t="shared" si="80"/>
        <v>2021</v>
      </c>
      <c r="H1689">
        <f t="shared" si="78"/>
        <v>0</v>
      </c>
    </row>
    <row r="1690" spans="1:8" x14ac:dyDescent="0.25">
      <c r="A1690" t="s">
        <v>2766</v>
      </c>
      <c r="B1690" s="1">
        <v>45203</v>
      </c>
      <c r="C1690" s="1">
        <v>45228</v>
      </c>
      <c r="D1690" s="1">
        <v>45591</v>
      </c>
      <c r="E1690">
        <v>63832.62</v>
      </c>
      <c r="F1690">
        <f t="shared" si="79"/>
        <v>2023</v>
      </c>
      <c r="G1690">
        <f t="shared" si="80"/>
        <v>2024</v>
      </c>
      <c r="H1690">
        <f t="shared" si="78"/>
        <v>1</v>
      </c>
    </row>
    <row r="1691" spans="1:8" x14ac:dyDescent="0.25">
      <c r="A1691" t="s">
        <v>2303</v>
      </c>
      <c r="B1691" s="1">
        <v>44927</v>
      </c>
      <c r="C1691" s="1">
        <v>44966</v>
      </c>
      <c r="D1691" s="1">
        <v>45307</v>
      </c>
      <c r="E1691">
        <v>-13532.34</v>
      </c>
      <c r="F1691">
        <f t="shared" si="79"/>
        <v>2023</v>
      </c>
      <c r="G1691">
        <f t="shared" si="80"/>
        <v>2024</v>
      </c>
      <c r="H1691">
        <f t="shared" si="78"/>
        <v>1</v>
      </c>
    </row>
    <row r="1692" spans="1:8" x14ac:dyDescent="0.25">
      <c r="A1692" t="s">
        <v>2508</v>
      </c>
      <c r="B1692" s="1">
        <v>43978</v>
      </c>
      <c r="C1692" s="1">
        <v>44065</v>
      </c>
      <c r="D1692" s="1">
        <v>44279</v>
      </c>
      <c r="E1692">
        <v>37689.58</v>
      </c>
      <c r="F1692">
        <f t="shared" si="79"/>
        <v>2020</v>
      </c>
      <c r="G1692">
        <f t="shared" si="80"/>
        <v>2021</v>
      </c>
      <c r="H1692">
        <f t="shared" si="78"/>
        <v>1</v>
      </c>
    </row>
    <row r="1693" spans="1:8" x14ac:dyDescent="0.25">
      <c r="A1693" t="s">
        <v>2462</v>
      </c>
      <c r="B1693" s="1">
        <v>45411</v>
      </c>
      <c r="C1693" s="1">
        <v>45413</v>
      </c>
      <c r="D1693" s="1">
        <v>45760</v>
      </c>
      <c r="E1693">
        <v>79402.350000000006</v>
      </c>
      <c r="F1693">
        <f t="shared" si="79"/>
        <v>2024</v>
      </c>
      <c r="G1693">
        <f t="shared" si="80"/>
        <v>2025</v>
      </c>
      <c r="H1693">
        <f t="shared" si="78"/>
        <v>1</v>
      </c>
    </row>
    <row r="1694" spans="1:8" x14ac:dyDescent="0.25">
      <c r="A1694" t="s">
        <v>2794</v>
      </c>
      <c r="B1694" s="1">
        <v>44623</v>
      </c>
      <c r="C1694" s="1">
        <v>44688</v>
      </c>
      <c r="D1694" s="1">
        <v>44991</v>
      </c>
      <c r="E1694">
        <v>-9942.1200000000008</v>
      </c>
      <c r="F1694">
        <f t="shared" si="79"/>
        <v>2022</v>
      </c>
      <c r="G1694">
        <f t="shared" si="80"/>
        <v>2023</v>
      </c>
      <c r="H1694">
        <f t="shared" si="78"/>
        <v>1</v>
      </c>
    </row>
    <row r="1695" spans="1:8" x14ac:dyDescent="0.25">
      <c r="A1695" t="s">
        <v>2300</v>
      </c>
      <c r="B1695" s="1">
        <v>44720</v>
      </c>
      <c r="C1695" s="1">
        <v>44726</v>
      </c>
      <c r="D1695" s="1">
        <v>44758</v>
      </c>
      <c r="E1695">
        <v>-15682.4</v>
      </c>
      <c r="F1695">
        <f t="shared" si="79"/>
        <v>2022</v>
      </c>
      <c r="G1695">
        <f t="shared" si="80"/>
        <v>2022</v>
      </c>
      <c r="H1695">
        <f t="shared" si="78"/>
        <v>0</v>
      </c>
    </row>
    <row r="1696" spans="1:8" x14ac:dyDescent="0.25">
      <c r="A1696" t="s">
        <v>2429</v>
      </c>
      <c r="B1696" s="1">
        <v>45396</v>
      </c>
      <c r="C1696" s="1">
        <v>45455</v>
      </c>
      <c r="D1696" s="1">
        <v>45496</v>
      </c>
      <c r="E1696">
        <v>41665.39</v>
      </c>
      <c r="F1696">
        <f t="shared" si="79"/>
        <v>2024</v>
      </c>
      <c r="G1696">
        <f t="shared" si="80"/>
        <v>2024</v>
      </c>
      <c r="H1696">
        <f t="shared" si="78"/>
        <v>0</v>
      </c>
    </row>
    <row r="1697" spans="1:8" x14ac:dyDescent="0.25">
      <c r="A1697" t="s">
        <v>2553</v>
      </c>
      <c r="B1697" s="1">
        <v>44224</v>
      </c>
      <c r="C1697" s="1">
        <v>44259</v>
      </c>
      <c r="D1697" s="1">
        <v>44894</v>
      </c>
      <c r="E1697">
        <v>51054.45</v>
      </c>
      <c r="F1697">
        <f t="shared" si="79"/>
        <v>2021</v>
      </c>
      <c r="G1697">
        <f t="shared" si="80"/>
        <v>2022</v>
      </c>
      <c r="H1697">
        <f t="shared" si="78"/>
        <v>1</v>
      </c>
    </row>
    <row r="1698" spans="1:8" x14ac:dyDescent="0.25">
      <c r="A1698" t="s">
        <v>2874</v>
      </c>
      <c r="B1698" s="1">
        <v>44494</v>
      </c>
      <c r="C1698" s="1">
        <v>44578</v>
      </c>
      <c r="D1698" s="1">
        <v>44685</v>
      </c>
      <c r="E1698">
        <v>-22064.76</v>
      </c>
      <c r="F1698">
        <f t="shared" si="79"/>
        <v>2021</v>
      </c>
      <c r="G1698">
        <f t="shared" si="80"/>
        <v>2022</v>
      </c>
      <c r="H1698">
        <f t="shared" si="78"/>
        <v>1</v>
      </c>
    </row>
    <row r="1699" spans="1:8" x14ac:dyDescent="0.25">
      <c r="A1699" t="s">
        <v>2141</v>
      </c>
      <c r="B1699" s="1">
        <v>45065</v>
      </c>
      <c r="C1699" s="1">
        <v>45117</v>
      </c>
      <c r="D1699" s="1">
        <v>45262</v>
      </c>
      <c r="E1699">
        <v>19152.11</v>
      </c>
      <c r="F1699">
        <f t="shared" si="79"/>
        <v>2023</v>
      </c>
      <c r="G1699">
        <f t="shared" si="80"/>
        <v>2023</v>
      </c>
      <c r="H1699">
        <f t="shared" si="78"/>
        <v>0</v>
      </c>
    </row>
    <row r="1700" spans="1:8" x14ac:dyDescent="0.25">
      <c r="A1700" t="s">
        <v>2718</v>
      </c>
      <c r="B1700" s="1">
        <v>43953</v>
      </c>
      <c r="C1700" s="1">
        <v>44001</v>
      </c>
      <c r="D1700" s="1">
        <v>44253</v>
      </c>
      <c r="E1700">
        <v>15348.73</v>
      </c>
      <c r="F1700">
        <f t="shared" si="79"/>
        <v>2020</v>
      </c>
      <c r="G1700">
        <f t="shared" si="80"/>
        <v>2021</v>
      </c>
      <c r="H1700">
        <f t="shared" si="78"/>
        <v>1</v>
      </c>
    </row>
    <row r="1701" spans="1:8" x14ac:dyDescent="0.25">
      <c r="A1701" t="s">
        <v>2386</v>
      </c>
      <c r="B1701" s="1">
        <v>44588</v>
      </c>
      <c r="C1701" s="1">
        <v>44649</v>
      </c>
      <c r="D1701" s="1">
        <v>44571</v>
      </c>
      <c r="E1701">
        <v>-11624.17</v>
      </c>
      <c r="F1701">
        <f t="shared" si="79"/>
        <v>2022</v>
      </c>
      <c r="G1701">
        <f t="shared" si="80"/>
        <v>2022</v>
      </c>
      <c r="H1701">
        <f t="shared" si="78"/>
        <v>0</v>
      </c>
    </row>
    <row r="1702" spans="1:8" x14ac:dyDescent="0.25">
      <c r="A1702" t="s">
        <v>2205</v>
      </c>
      <c r="B1702" s="1">
        <v>44017</v>
      </c>
      <c r="C1702" s="1">
        <v>44058</v>
      </c>
      <c r="D1702" s="1">
        <v>44255</v>
      </c>
      <c r="E1702">
        <v>18709.45</v>
      </c>
      <c r="F1702">
        <f t="shared" si="79"/>
        <v>2020</v>
      </c>
      <c r="G1702">
        <f t="shared" si="80"/>
        <v>2021</v>
      </c>
      <c r="H1702">
        <f t="shared" si="78"/>
        <v>1</v>
      </c>
    </row>
    <row r="1703" spans="1:8" x14ac:dyDescent="0.25">
      <c r="A1703" t="s">
        <v>2201</v>
      </c>
      <c r="B1703" s="1">
        <v>44240</v>
      </c>
      <c r="C1703" s="1">
        <v>44281</v>
      </c>
      <c r="D1703" s="1">
        <v>44427</v>
      </c>
      <c r="E1703">
        <v>22012.84</v>
      </c>
      <c r="F1703">
        <f t="shared" si="79"/>
        <v>2021</v>
      </c>
      <c r="G1703">
        <f t="shared" si="80"/>
        <v>2021</v>
      </c>
      <c r="H1703">
        <f t="shared" si="78"/>
        <v>0</v>
      </c>
    </row>
    <row r="1704" spans="1:8" x14ac:dyDescent="0.25">
      <c r="A1704" t="s">
        <v>2305</v>
      </c>
      <c r="B1704" s="1">
        <v>44277</v>
      </c>
      <c r="C1704" s="1">
        <v>44321</v>
      </c>
      <c r="D1704" s="1">
        <v>44367</v>
      </c>
      <c r="E1704">
        <v>24581.03</v>
      </c>
      <c r="F1704">
        <f t="shared" si="79"/>
        <v>2021</v>
      </c>
      <c r="G1704">
        <f t="shared" si="80"/>
        <v>2021</v>
      </c>
      <c r="H1704">
        <f t="shared" si="78"/>
        <v>0</v>
      </c>
    </row>
    <row r="1705" spans="1:8" x14ac:dyDescent="0.25">
      <c r="A1705" t="s">
        <v>2405</v>
      </c>
      <c r="B1705" s="1">
        <v>44167</v>
      </c>
      <c r="C1705" s="1">
        <v>44248</v>
      </c>
      <c r="D1705" s="1">
        <v>44344</v>
      </c>
      <c r="E1705">
        <v>37777.72</v>
      </c>
      <c r="F1705">
        <f t="shared" si="79"/>
        <v>2020</v>
      </c>
      <c r="G1705">
        <f t="shared" si="80"/>
        <v>2021</v>
      </c>
      <c r="H1705">
        <f t="shared" si="78"/>
        <v>1</v>
      </c>
    </row>
    <row r="1706" spans="1:8" x14ac:dyDescent="0.25">
      <c r="A1706" t="s">
        <v>2479</v>
      </c>
      <c r="B1706" s="1">
        <v>44797</v>
      </c>
      <c r="C1706" s="1">
        <v>44840</v>
      </c>
      <c r="D1706" s="1">
        <v>45045</v>
      </c>
      <c r="E1706">
        <v>3163.53</v>
      </c>
      <c r="F1706">
        <f t="shared" si="79"/>
        <v>2022</v>
      </c>
      <c r="G1706">
        <f t="shared" si="80"/>
        <v>2023</v>
      </c>
      <c r="H1706">
        <f t="shared" si="78"/>
        <v>1</v>
      </c>
    </row>
    <row r="1707" spans="1:8" x14ac:dyDescent="0.25">
      <c r="A1707" t="s">
        <v>2365</v>
      </c>
      <c r="B1707" s="1">
        <v>44376</v>
      </c>
      <c r="C1707" s="1">
        <v>44398</v>
      </c>
      <c r="D1707" s="1">
        <v>44676</v>
      </c>
      <c r="E1707">
        <v>-4843.6499999999996</v>
      </c>
      <c r="F1707">
        <f t="shared" si="79"/>
        <v>2021</v>
      </c>
      <c r="G1707">
        <f t="shared" si="80"/>
        <v>2022</v>
      </c>
      <c r="H1707">
        <f t="shared" si="78"/>
        <v>1</v>
      </c>
    </row>
    <row r="1708" spans="1:8" x14ac:dyDescent="0.25">
      <c r="A1708" t="s">
        <v>2875</v>
      </c>
      <c r="B1708" s="1">
        <v>44275</v>
      </c>
      <c r="C1708" s="1">
        <v>44297</v>
      </c>
      <c r="D1708" s="1">
        <v>44727</v>
      </c>
      <c r="E1708">
        <v>33591.5</v>
      </c>
      <c r="F1708">
        <f t="shared" si="79"/>
        <v>2021</v>
      </c>
      <c r="G1708">
        <f t="shared" si="80"/>
        <v>2022</v>
      </c>
      <c r="H1708">
        <f t="shared" si="78"/>
        <v>1</v>
      </c>
    </row>
    <row r="1709" spans="1:8" x14ac:dyDescent="0.25">
      <c r="A1709" t="s">
        <v>2250</v>
      </c>
      <c r="B1709" s="1">
        <v>43958</v>
      </c>
      <c r="C1709" s="1">
        <v>44030</v>
      </c>
      <c r="D1709" s="1">
        <v>44071</v>
      </c>
      <c r="E1709">
        <v>-6682.65</v>
      </c>
      <c r="F1709">
        <f t="shared" si="79"/>
        <v>2020</v>
      </c>
      <c r="G1709">
        <f t="shared" si="80"/>
        <v>2020</v>
      </c>
      <c r="H1709">
        <f t="shared" si="78"/>
        <v>0</v>
      </c>
    </row>
    <row r="1710" spans="1:8" x14ac:dyDescent="0.25">
      <c r="A1710" t="s">
        <v>2520</v>
      </c>
      <c r="B1710" s="1">
        <v>44742</v>
      </c>
      <c r="C1710" s="1">
        <v>44793</v>
      </c>
      <c r="D1710" s="1">
        <v>44973</v>
      </c>
      <c r="E1710">
        <v>18977.36</v>
      </c>
      <c r="F1710">
        <f t="shared" si="79"/>
        <v>2022</v>
      </c>
      <c r="G1710">
        <f t="shared" si="80"/>
        <v>2023</v>
      </c>
      <c r="H1710">
        <f t="shared" si="78"/>
        <v>1</v>
      </c>
    </row>
    <row r="1711" spans="1:8" x14ac:dyDescent="0.25">
      <c r="A1711" t="s">
        <v>2447</v>
      </c>
      <c r="B1711" s="1">
        <v>45554</v>
      </c>
      <c r="C1711" s="1">
        <v>45618</v>
      </c>
      <c r="D1711" s="1">
        <v>45755</v>
      </c>
      <c r="E1711">
        <v>36151.49</v>
      </c>
      <c r="F1711">
        <f t="shared" si="79"/>
        <v>2024</v>
      </c>
      <c r="G1711">
        <f t="shared" si="80"/>
        <v>2025</v>
      </c>
      <c r="H1711">
        <f t="shared" si="78"/>
        <v>1</v>
      </c>
    </row>
    <row r="1712" spans="1:8" x14ac:dyDescent="0.25">
      <c r="A1712" t="s">
        <v>2227</v>
      </c>
      <c r="B1712" s="1">
        <v>44163</v>
      </c>
      <c r="C1712" s="1">
        <v>44240</v>
      </c>
      <c r="D1712" s="1">
        <v>44442</v>
      </c>
      <c r="E1712">
        <v>-11866.45</v>
      </c>
      <c r="F1712">
        <f t="shared" si="79"/>
        <v>2020</v>
      </c>
      <c r="G1712">
        <f t="shared" si="80"/>
        <v>2021</v>
      </c>
      <c r="H1712">
        <f t="shared" si="78"/>
        <v>1</v>
      </c>
    </row>
    <row r="1713" spans="1:8" x14ac:dyDescent="0.25">
      <c r="A1713" t="s">
        <v>2187</v>
      </c>
      <c r="B1713" s="1">
        <v>44280</v>
      </c>
      <c r="C1713" s="1">
        <v>44347</v>
      </c>
      <c r="D1713" s="1">
        <v>44569</v>
      </c>
      <c r="E1713">
        <v>71375.27</v>
      </c>
      <c r="F1713">
        <f t="shared" si="79"/>
        <v>2021</v>
      </c>
      <c r="G1713">
        <f t="shared" si="80"/>
        <v>2022</v>
      </c>
      <c r="H1713">
        <f t="shared" si="78"/>
        <v>1</v>
      </c>
    </row>
    <row r="1714" spans="1:8" x14ac:dyDescent="0.25">
      <c r="A1714" t="s">
        <v>2251</v>
      </c>
      <c r="B1714" s="1">
        <v>44692</v>
      </c>
      <c r="D1714" s="1">
        <v>45424</v>
      </c>
      <c r="E1714">
        <v>75414.8</v>
      </c>
      <c r="F1714">
        <f t="shared" si="79"/>
        <v>2022</v>
      </c>
      <c r="G1714">
        <f t="shared" si="80"/>
        <v>2024</v>
      </c>
      <c r="H1714">
        <f t="shared" si="78"/>
        <v>2</v>
      </c>
    </row>
    <row r="1715" spans="1:8" x14ac:dyDescent="0.25">
      <c r="A1715" t="s">
        <v>2527</v>
      </c>
      <c r="B1715" s="1">
        <v>44970</v>
      </c>
      <c r="C1715" s="1">
        <v>44999</v>
      </c>
      <c r="D1715" s="1">
        <v>45236</v>
      </c>
      <c r="E1715">
        <v>58003.17</v>
      </c>
      <c r="F1715">
        <f t="shared" si="79"/>
        <v>2023</v>
      </c>
      <c r="G1715">
        <f t="shared" si="80"/>
        <v>2023</v>
      </c>
      <c r="H1715">
        <f t="shared" si="78"/>
        <v>0</v>
      </c>
    </row>
    <row r="1716" spans="1:8" x14ac:dyDescent="0.25">
      <c r="A1716" t="s">
        <v>2458</v>
      </c>
      <c r="B1716" s="1">
        <v>44456</v>
      </c>
      <c r="C1716" s="1">
        <v>44510</v>
      </c>
      <c r="D1716" s="1">
        <v>44676</v>
      </c>
      <c r="E1716">
        <v>12200.9</v>
      </c>
      <c r="F1716">
        <f t="shared" si="79"/>
        <v>2021</v>
      </c>
      <c r="G1716">
        <f t="shared" si="80"/>
        <v>2022</v>
      </c>
      <c r="H1716">
        <f t="shared" si="78"/>
        <v>1</v>
      </c>
    </row>
    <row r="1717" spans="1:8" x14ac:dyDescent="0.25">
      <c r="A1717" t="s">
        <v>2585</v>
      </c>
      <c r="B1717" s="1">
        <v>44802</v>
      </c>
      <c r="C1717" s="1">
        <v>44871</v>
      </c>
      <c r="D1717" s="1">
        <v>45251</v>
      </c>
      <c r="E1717">
        <v>53724.85</v>
      </c>
      <c r="F1717">
        <f t="shared" si="79"/>
        <v>2022</v>
      </c>
      <c r="G1717">
        <f t="shared" si="80"/>
        <v>2023</v>
      </c>
      <c r="H1717">
        <f t="shared" si="78"/>
        <v>1</v>
      </c>
    </row>
    <row r="1718" spans="1:8" x14ac:dyDescent="0.25">
      <c r="A1718" t="s">
        <v>2202</v>
      </c>
      <c r="B1718" s="1">
        <v>44303</v>
      </c>
      <c r="C1718" s="1">
        <v>44383</v>
      </c>
      <c r="D1718" s="1">
        <v>44475</v>
      </c>
      <c r="E1718">
        <v>51187.48</v>
      </c>
      <c r="F1718">
        <f t="shared" si="79"/>
        <v>2021</v>
      </c>
      <c r="G1718">
        <f t="shared" si="80"/>
        <v>2021</v>
      </c>
      <c r="H1718">
        <f t="shared" si="78"/>
        <v>0</v>
      </c>
    </row>
    <row r="1719" spans="1:8" x14ac:dyDescent="0.25">
      <c r="A1719" t="s">
        <v>2318</v>
      </c>
      <c r="B1719" s="1">
        <v>44534</v>
      </c>
      <c r="C1719" s="1">
        <v>44562</v>
      </c>
      <c r="D1719" s="1">
        <v>45055</v>
      </c>
      <c r="E1719">
        <v>52672.14</v>
      </c>
      <c r="F1719">
        <f t="shared" si="79"/>
        <v>2021</v>
      </c>
      <c r="G1719">
        <f t="shared" si="80"/>
        <v>2023</v>
      </c>
      <c r="H1719">
        <f t="shared" si="78"/>
        <v>2</v>
      </c>
    </row>
    <row r="1720" spans="1:8" x14ac:dyDescent="0.25">
      <c r="A1720" t="s">
        <v>2638</v>
      </c>
      <c r="B1720" s="1">
        <v>45204</v>
      </c>
      <c r="C1720" s="1">
        <v>45206</v>
      </c>
      <c r="D1720" s="1">
        <v>45538</v>
      </c>
      <c r="E1720">
        <v>50254.47</v>
      </c>
      <c r="F1720">
        <f t="shared" si="79"/>
        <v>2023</v>
      </c>
      <c r="G1720">
        <f t="shared" si="80"/>
        <v>2024</v>
      </c>
      <c r="H1720">
        <f t="shared" si="78"/>
        <v>1</v>
      </c>
    </row>
    <row r="1721" spans="1:8" x14ac:dyDescent="0.25">
      <c r="A1721" t="s">
        <v>2631</v>
      </c>
      <c r="B1721" s="1">
        <v>44293</v>
      </c>
      <c r="D1721" s="1">
        <v>44315</v>
      </c>
      <c r="E1721">
        <v>42424.24</v>
      </c>
      <c r="F1721">
        <f t="shared" si="79"/>
        <v>2021</v>
      </c>
      <c r="G1721">
        <f t="shared" si="80"/>
        <v>2021</v>
      </c>
      <c r="H1721">
        <f t="shared" si="78"/>
        <v>0</v>
      </c>
    </row>
    <row r="1722" spans="1:8" x14ac:dyDescent="0.25">
      <c r="A1722" t="s">
        <v>2264</v>
      </c>
      <c r="B1722" s="1">
        <v>44792</v>
      </c>
      <c r="C1722" s="1">
        <v>44812</v>
      </c>
      <c r="D1722" s="1">
        <v>45431</v>
      </c>
      <c r="E1722">
        <v>36462.74</v>
      </c>
      <c r="F1722">
        <f t="shared" si="79"/>
        <v>2022</v>
      </c>
      <c r="G1722">
        <f t="shared" si="80"/>
        <v>2024</v>
      </c>
      <c r="H1722">
        <f t="shared" si="78"/>
        <v>2</v>
      </c>
    </row>
    <row r="1723" spans="1:8" x14ac:dyDescent="0.25">
      <c r="A1723" t="s">
        <v>2228</v>
      </c>
      <c r="B1723" s="1">
        <v>45097</v>
      </c>
      <c r="C1723" s="1">
        <v>45117</v>
      </c>
      <c r="D1723" s="1">
        <v>45452</v>
      </c>
      <c r="E1723">
        <v>57149.77</v>
      </c>
      <c r="F1723">
        <f t="shared" si="79"/>
        <v>2023</v>
      </c>
      <c r="G1723">
        <f t="shared" si="80"/>
        <v>2024</v>
      </c>
      <c r="H1723">
        <f t="shared" si="78"/>
        <v>1</v>
      </c>
    </row>
    <row r="1724" spans="1:8" x14ac:dyDescent="0.25">
      <c r="A1724" t="s">
        <v>2497</v>
      </c>
      <c r="B1724" s="1">
        <v>43924</v>
      </c>
      <c r="C1724" s="1">
        <v>43979</v>
      </c>
      <c r="D1724" s="1">
        <v>44072</v>
      </c>
      <c r="E1724">
        <v>35279.07</v>
      </c>
      <c r="F1724">
        <f t="shared" si="79"/>
        <v>2020</v>
      </c>
      <c r="G1724">
        <f t="shared" si="80"/>
        <v>2020</v>
      </c>
      <c r="H1724">
        <f t="shared" si="78"/>
        <v>0</v>
      </c>
    </row>
    <row r="1725" spans="1:8" x14ac:dyDescent="0.25">
      <c r="A1725" t="s">
        <v>2475</v>
      </c>
      <c r="B1725" s="1">
        <v>44103</v>
      </c>
      <c r="C1725" s="1">
        <v>44128</v>
      </c>
      <c r="D1725" s="1">
        <v>44606</v>
      </c>
      <c r="E1725">
        <v>56604.69</v>
      </c>
      <c r="F1725">
        <f t="shared" si="79"/>
        <v>2020</v>
      </c>
      <c r="G1725">
        <f t="shared" si="80"/>
        <v>2022</v>
      </c>
      <c r="H1725">
        <f t="shared" si="78"/>
        <v>2</v>
      </c>
    </row>
    <row r="1726" spans="1:8" x14ac:dyDescent="0.25">
      <c r="A1726" t="s">
        <v>2415</v>
      </c>
      <c r="B1726" s="1">
        <v>44820</v>
      </c>
      <c r="C1726" s="1">
        <v>44906</v>
      </c>
      <c r="D1726" s="1">
        <v>45040</v>
      </c>
      <c r="E1726">
        <v>12081.98</v>
      </c>
      <c r="F1726">
        <f t="shared" si="79"/>
        <v>2022</v>
      </c>
      <c r="G1726">
        <f t="shared" si="80"/>
        <v>2023</v>
      </c>
      <c r="H1726">
        <f t="shared" si="78"/>
        <v>1</v>
      </c>
    </row>
    <row r="1727" spans="1:8" x14ac:dyDescent="0.25">
      <c r="A1727" t="s">
        <v>2525</v>
      </c>
      <c r="B1727" s="1">
        <v>43845</v>
      </c>
      <c r="C1727" s="1">
        <v>43874</v>
      </c>
      <c r="D1727" s="1">
        <v>43957</v>
      </c>
      <c r="E1727">
        <v>44149.2</v>
      </c>
      <c r="F1727">
        <f t="shared" si="79"/>
        <v>2020</v>
      </c>
      <c r="G1727">
        <f t="shared" si="80"/>
        <v>2020</v>
      </c>
      <c r="H1727">
        <f t="shared" si="78"/>
        <v>0</v>
      </c>
    </row>
    <row r="1728" spans="1:8" x14ac:dyDescent="0.25">
      <c r="A1728" t="s">
        <v>2755</v>
      </c>
      <c r="B1728" s="1">
        <v>44415</v>
      </c>
      <c r="C1728" s="1">
        <v>44461</v>
      </c>
      <c r="D1728" s="1">
        <v>44671</v>
      </c>
      <c r="E1728">
        <v>57420.52</v>
      </c>
      <c r="F1728">
        <f t="shared" si="79"/>
        <v>2021</v>
      </c>
      <c r="G1728">
        <f t="shared" si="80"/>
        <v>2022</v>
      </c>
      <c r="H1728">
        <f t="shared" si="78"/>
        <v>1</v>
      </c>
    </row>
    <row r="1729" spans="1:8" x14ac:dyDescent="0.25">
      <c r="A1729" t="s">
        <v>2531</v>
      </c>
      <c r="B1729" s="1">
        <v>44136</v>
      </c>
      <c r="C1729" s="1">
        <v>44212</v>
      </c>
      <c r="D1729" s="1">
        <v>44228</v>
      </c>
      <c r="E1729">
        <v>75192.69</v>
      </c>
      <c r="F1729">
        <f t="shared" si="79"/>
        <v>2020</v>
      </c>
      <c r="G1729">
        <f t="shared" si="80"/>
        <v>2021</v>
      </c>
      <c r="H1729">
        <f t="shared" si="78"/>
        <v>1</v>
      </c>
    </row>
    <row r="1730" spans="1:8" x14ac:dyDescent="0.25">
      <c r="A1730" t="s">
        <v>2556</v>
      </c>
      <c r="B1730" s="1">
        <v>45090</v>
      </c>
      <c r="C1730" s="1">
        <v>45156</v>
      </c>
      <c r="D1730" s="1">
        <v>45303</v>
      </c>
      <c r="E1730">
        <v>32424.43</v>
      </c>
      <c r="F1730">
        <f t="shared" si="79"/>
        <v>2023</v>
      </c>
      <c r="G1730">
        <f t="shared" si="80"/>
        <v>2024</v>
      </c>
      <c r="H1730">
        <f t="shared" ref="H1730:H1793" si="81">MAX(0,G1730-F1730)</f>
        <v>1</v>
      </c>
    </row>
    <row r="1731" spans="1:8" x14ac:dyDescent="0.25">
      <c r="A1731" t="s">
        <v>2453</v>
      </c>
      <c r="B1731" s="1">
        <v>44872</v>
      </c>
      <c r="C1731" s="1">
        <v>44960</v>
      </c>
      <c r="D1731" s="1">
        <v>45378</v>
      </c>
      <c r="E1731">
        <v>20379.98</v>
      </c>
      <c r="F1731">
        <f t="shared" ref="F1731:F1794" si="82">YEAR(B1731)</f>
        <v>2022</v>
      </c>
      <c r="G1731">
        <f t="shared" ref="G1731:G1794" si="83">YEAR(D1731)</f>
        <v>2024</v>
      </c>
      <c r="H1731">
        <f t="shared" si="81"/>
        <v>2</v>
      </c>
    </row>
    <row r="1732" spans="1:8" x14ac:dyDescent="0.25">
      <c r="A1732" t="s">
        <v>2705</v>
      </c>
      <c r="B1732" s="1">
        <v>44525</v>
      </c>
      <c r="C1732" s="1">
        <v>44594</v>
      </c>
      <c r="D1732" s="1">
        <v>44781</v>
      </c>
      <c r="E1732">
        <v>34453.74</v>
      </c>
      <c r="F1732">
        <f t="shared" si="82"/>
        <v>2021</v>
      </c>
      <c r="G1732">
        <f t="shared" si="83"/>
        <v>2022</v>
      </c>
      <c r="H1732">
        <f t="shared" si="81"/>
        <v>1</v>
      </c>
    </row>
    <row r="1733" spans="1:8" x14ac:dyDescent="0.25">
      <c r="A1733" t="s">
        <v>2876</v>
      </c>
      <c r="B1733" s="1">
        <v>45005</v>
      </c>
      <c r="C1733" s="1">
        <v>45029</v>
      </c>
      <c r="D1733" s="1">
        <v>45131</v>
      </c>
      <c r="E1733">
        <v>14037.94</v>
      </c>
      <c r="F1733">
        <f t="shared" si="82"/>
        <v>2023</v>
      </c>
      <c r="G1733">
        <f t="shared" si="83"/>
        <v>2023</v>
      </c>
      <c r="H1733">
        <f t="shared" si="81"/>
        <v>0</v>
      </c>
    </row>
    <row r="1734" spans="1:8" x14ac:dyDescent="0.25">
      <c r="A1734" t="s">
        <v>2726</v>
      </c>
      <c r="B1734" s="1">
        <v>44719</v>
      </c>
      <c r="C1734" s="1">
        <v>44783</v>
      </c>
      <c r="D1734" s="1">
        <v>45273</v>
      </c>
      <c r="E1734">
        <v>84039.81</v>
      </c>
      <c r="F1734">
        <f t="shared" si="82"/>
        <v>2022</v>
      </c>
      <c r="G1734">
        <f t="shared" si="83"/>
        <v>2023</v>
      </c>
      <c r="H1734">
        <f t="shared" si="81"/>
        <v>1</v>
      </c>
    </row>
    <row r="1735" spans="1:8" x14ac:dyDescent="0.25">
      <c r="A1735" t="s">
        <v>2877</v>
      </c>
      <c r="B1735" s="1">
        <v>45549</v>
      </c>
      <c r="C1735" s="1">
        <v>45565</v>
      </c>
      <c r="D1735" s="1">
        <v>45766</v>
      </c>
      <c r="E1735">
        <v>81844.27</v>
      </c>
      <c r="F1735">
        <f t="shared" si="82"/>
        <v>2024</v>
      </c>
      <c r="G1735">
        <f t="shared" si="83"/>
        <v>2025</v>
      </c>
      <c r="H1735">
        <f t="shared" si="81"/>
        <v>1</v>
      </c>
    </row>
    <row r="1736" spans="1:8" x14ac:dyDescent="0.25">
      <c r="A1736" t="s">
        <v>2482</v>
      </c>
      <c r="B1736" s="1">
        <v>45447</v>
      </c>
      <c r="C1736" s="1">
        <v>45481</v>
      </c>
      <c r="D1736" s="1">
        <v>45679</v>
      </c>
      <c r="E1736">
        <v>-16450.849999999999</v>
      </c>
      <c r="F1736">
        <f t="shared" si="82"/>
        <v>2024</v>
      </c>
      <c r="G1736">
        <f t="shared" si="83"/>
        <v>2025</v>
      </c>
      <c r="H1736">
        <f t="shared" si="81"/>
        <v>1</v>
      </c>
    </row>
    <row r="1737" spans="1:8" x14ac:dyDescent="0.25">
      <c r="A1737" t="s">
        <v>2706</v>
      </c>
      <c r="B1737" s="1">
        <v>45365</v>
      </c>
      <c r="C1737" s="1">
        <v>45405</v>
      </c>
      <c r="D1737" s="1">
        <v>45544</v>
      </c>
      <c r="E1737">
        <v>24229.09</v>
      </c>
      <c r="F1737">
        <f t="shared" si="82"/>
        <v>2024</v>
      </c>
      <c r="G1737">
        <f t="shared" si="83"/>
        <v>2024</v>
      </c>
      <c r="H1737">
        <f t="shared" si="81"/>
        <v>0</v>
      </c>
    </row>
    <row r="1738" spans="1:8" x14ac:dyDescent="0.25">
      <c r="A1738" t="s">
        <v>2280</v>
      </c>
      <c r="B1738" s="1">
        <v>44387</v>
      </c>
      <c r="C1738" s="1">
        <v>44414</v>
      </c>
      <c r="D1738" s="1">
        <v>44904</v>
      </c>
      <c r="E1738">
        <v>80310.81</v>
      </c>
      <c r="F1738">
        <f t="shared" si="82"/>
        <v>2021</v>
      </c>
      <c r="G1738">
        <f t="shared" si="83"/>
        <v>2022</v>
      </c>
      <c r="H1738">
        <f t="shared" si="81"/>
        <v>1</v>
      </c>
    </row>
    <row r="1739" spans="1:8" x14ac:dyDescent="0.25">
      <c r="A1739" t="s">
        <v>2415</v>
      </c>
      <c r="B1739" s="1">
        <v>44820</v>
      </c>
      <c r="C1739" s="1">
        <v>44906</v>
      </c>
      <c r="D1739" s="1">
        <v>45211</v>
      </c>
      <c r="E1739">
        <v>80404.06</v>
      </c>
      <c r="F1739">
        <f t="shared" si="82"/>
        <v>2022</v>
      </c>
      <c r="G1739">
        <f t="shared" si="83"/>
        <v>2023</v>
      </c>
      <c r="H1739">
        <f t="shared" si="81"/>
        <v>1</v>
      </c>
    </row>
    <row r="1740" spans="1:8" x14ac:dyDescent="0.25">
      <c r="A1740" t="s">
        <v>2500</v>
      </c>
      <c r="B1740" s="1">
        <v>44614</v>
      </c>
      <c r="C1740" s="1">
        <v>44628</v>
      </c>
      <c r="D1740" s="1">
        <v>45131</v>
      </c>
      <c r="E1740">
        <v>-4879.62</v>
      </c>
      <c r="F1740">
        <f t="shared" si="82"/>
        <v>2022</v>
      </c>
      <c r="G1740">
        <f t="shared" si="83"/>
        <v>2023</v>
      </c>
      <c r="H1740">
        <f t="shared" si="81"/>
        <v>1</v>
      </c>
    </row>
    <row r="1741" spans="1:8" x14ac:dyDescent="0.25">
      <c r="A1741" t="s">
        <v>2839</v>
      </c>
      <c r="B1741" s="1">
        <v>44061</v>
      </c>
      <c r="C1741" s="1">
        <v>44135</v>
      </c>
      <c r="D1741" s="1">
        <v>44379</v>
      </c>
      <c r="E1741">
        <v>36721.96</v>
      </c>
      <c r="F1741">
        <f t="shared" si="82"/>
        <v>2020</v>
      </c>
      <c r="G1741">
        <f t="shared" si="83"/>
        <v>2021</v>
      </c>
      <c r="H1741">
        <f t="shared" si="81"/>
        <v>1</v>
      </c>
    </row>
    <row r="1742" spans="1:8" x14ac:dyDescent="0.25">
      <c r="A1742" t="s">
        <v>2495</v>
      </c>
      <c r="B1742" s="1">
        <v>44683</v>
      </c>
      <c r="C1742" s="1">
        <v>44706</v>
      </c>
      <c r="D1742" s="1">
        <v>44808</v>
      </c>
      <c r="E1742">
        <v>9287.0400000000009</v>
      </c>
      <c r="F1742">
        <f t="shared" si="82"/>
        <v>2022</v>
      </c>
      <c r="G1742">
        <f t="shared" si="83"/>
        <v>2022</v>
      </c>
      <c r="H1742">
        <f t="shared" si="81"/>
        <v>0</v>
      </c>
    </row>
    <row r="1743" spans="1:8" x14ac:dyDescent="0.25">
      <c r="A1743" t="s">
        <v>2604</v>
      </c>
      <c r="B1743" s="1">
        <v>45247</v>
      </c>
      <c r="C1743" s="1">
        <v>45263</v>
      </c>
      <c r="D1743" s="1">
        <v>45372</v>
      </c>
      <c r="E1743">
        <v>77704.91</v>
      </c>
      <c r="F1743">
        <f t="shared" si="82"/>
        <v>2023</v>
      </c>
      <c r="G1743">
        <f t="shared" si="83"/>
        <v>2024</v>
      </c>
      <c r="H1743">
        <f t="shared" si="81"/>
        <v>1</v>
      </c>
    </row>
    <row r="1744" spans="1:8" x14ac:dyDescent="0.25">
      <c r="A1744" t="s">
        <v>2837</v>
      </c>
      <c r="B1744" s="1">
        <v>44367</v>
      </c>
      <c r="C1744" s="1">
        <v>44450</v>
      </c>
      <c r="D1744" s="1">
        <v>44742</v>
      </c>
      <c r="E1744">
        <v>28091.77</v>
      </c>
      <c r="F1744">
        <f t="shared" si="82"/>
        <v>2021</v>
      </c>
      <c r="G1744">
        <f t="shared" si="83"/>
        <v>2022</v>
      </c>
      <c r="H1744">
        <f t="shared" si="81"/>
        <v>1</v>
      </c>
    </row>
    <row r="1745" spans="1:8" x14ac:dyDescent="0.25">
      <c r="A1745" t="s">
        <v>2574</v>
      </c>
      <c r="B1745" s="1">
        <v>44566</v>
      </c>
      <c r="C1745" s="1">
        <v>44610</v>
      </c>
      <c r="D1745" s="1">
        <v>44976</v>
      </c>
      <c r="E1745">
        <v>58296.08</v>
      </c>
      <c r="F1745">
        <f t="shared" si="82"/>
        <v>2022</v>
      </c>
      <c r="G1745">
        <f t="shared" si="83"/>
        <v>2023</v>
      </c>
      <c r="H1745">
        <f t="shared" si="81"/>
        <v>1</v>
      </c>
    </row>
    <row r="1746" spans="1:8" x14ac:dyDescent="0.25">
      <c r="A1746" t="s">
        <v>2584</v>
      </c>
      <c r="B1746" s="1">
        <v>44721</v>
      </c>
      <c r="C1746" s="1">
        <v>44776</v>
      </c>
      <c r="D1746" s="1">
        <v>45136</v>
      </c>
      <c r="E1746">
        <v>67938.37</v>
      </c>
      <c r="F1746">
        <f t="shared" si="82"/>
        <v>2022</v>
      </c>
      <c r="G1746">
        <f t="shared" si="83"/>
        <v>2023</v>
      </c>
      <c r="H1746">
        <f t="shared" si="81"/>
        <v>1</v>
      </c>
    </row>
    <row r="1747" spans="1:8" x14ac:dyDescent="0.25">
      <c r="A1747" t="s">
        <v>2819</v>
      </c>
      <c r="B1747" s="1">
        <v>44983</v>
      </c>
      <c r="C1747" s="1">
        <v>45034</v>
      </c>
      <c r="D1747" s="1">
        <v>45142</v>
      </c>
      <c r="E1747">
        <v>41970.35</v>
      </c>
      <c r="F1747">
        <f t="shared" si="82"/>
        <v>2023</v>
      </c>
      <c r="G1747">
        <f t="shared" si="83"/>
        <v>2023</v>
      </c>
      <c r="H1747">
        <f t="shared" si="81"/>
        <v>0</v>
      </c>
    </row>
    <row r="1748" spans="1:8" x14ac:dyDescent="0.25">
      <c r="A1748" t="s">
        <v>2678</v>
      </c>
      <c r="B1748" s="1">
        <v>44911</v>
      </c>
      <c r="C1748" s="1">
        <v>44974</v>
      </c>
      <c r="D1748" s="1">
        <v>45362</v>
      </c>
      <c r="E1748">
        <v>10329.629999999999</v>
      </c>
      <c r="F1748">
        <f t="shared" si="82"/>
        <v>2022</v>
      </c>
      <c r="G1748">
        <f t="shared" si="83"/>
        <v>2024</v>
      </c>
      <c r="H1748">
        <f t="shared" si="81"/>
        <v>2</v>
      </c>
    </row>
    <row r="1749" spans="1:8" x14ac:dyDescent="0.25">
      <c r="A1749" t="s">
        <v>2794</v>
      </c>
      <c r="B1749" s="1">
        <v>44623</v>
      </c>
      <c r="C1749" s="1">
        <v>44688</v>
      </c>
      <c r="D1749" s="1">
        <v>44761</v>
      </c>
      <c r="E1749">
        <v>44197.9</v>
      </c>
      <c r="F1749">
        <f t="shared" si="82"/>
        <v>2022</v>
      </c>
      <c r="G1749">
        <f t="shared" si="83"/>
        <v>2022</v>
      </c>
      <c r="H1749">
        <f t="shared" si="81"/>
        <v>0</v>
      </c>
    </row>
    <row r="1750" spans="1:8" x14ac:dyDescent="0.25">
      <c r="A1750" t="s">
        <v>2400</v>
      </c>
      <c r="B1750" s="1">
        <v>43953</v>
      </c>
      <c r="C1750" s="1">
        <v>43992</v>
      </c>
      <c r="D1750" s="1">
        <v>44202</v>
      </c>
      <c r="E1750">
        <v>35524.54</v>
      </c>
      <c r="F1750">
        <f t="shared" si="82"/>
        <v>2020</v>
      </c>
      <c r="G1750">
        <f t="shared" si="83"/>
        <v>2021</v>
      </c>
      <c r="H1750">
        <f t="shared" si="81"/>
        <v>1</v>
      </c>
    </row>
    <row r="1751" spans="1:8" x14ac:dyDescent="0.25">
      <c r="A1751" t="s">
        <v>2395</v>
      </c>
      <c r="B1751" s="1">
        <v>45126</v>
      </c>
      <c r="C1751" s="1">
        <v>45143</v>
      </c>
      <c r="D1751" s="1">
        <v>45628</v>
      </c>
      <c r="E1751">
        <v>58119.5</v>
      </c>
      <c r="F1751">
        <f t="shared" si="82"/>
        <v>2023</v>
      </c>
      <c r="G1751">
        <f t="shared" si="83"/>
        <v>2024</v>
      </c>
      <c r="H1751">
        <f t="shared" si="81"/>
        <v>1</v>
      </c>
    </row>
    <row r="1752" spans="1:8" x14ac:dyDescent="0.25">
      <c r="A1752" t="s">
        <v>2294</v>
      </c>
      <c r="B1752" s="1">
        <v>45402</v>
      </c>
      <c r="C1752" s="1">
        <v>45442</v>
      </c>
      <c r="D1752" s="1">
        <v>45627</v>
      </c>
      <c r="E1752">
        <v>-22498.16</v>
      </c>
      <c r="F1752">
        <f t="shared" si="82"/>
        <v>2024</v>
      </c>
      <c r="G1752">
        <f t="shared" si="83"/>
        <v>2024</v>
      </c>
      <c r="H1752">
        <f t="shared" si="81"/>
        <v>0</v>
      </c>
    </row>
    <row r="1753" spans="1:8" x14ac:dyDescent="0.25">
      <c r="A1753" t="s">
        <v>2878</v>
      </c>
      <c r="B1753" s="1">
        <v>44063</v>
      </c>
      <c r="C1753" s="1">
        <v>44140</v>
      </c>
      <c r="D1753" s="1">
        <v>44397</v>
      </c>
      <c r="E1753">
        <v>22956.17</v>
      </c>
      <c r="F1753">
        <f t="shared" si="82"/>
        <v>2020</v>
      </c>
      <c r="G1753">
        <f t="shared" si="83"/>
        <v>2021</v>
      </c>
      <c r="H1753">
        <f t="shared" si="81"/>
        <v>1</v>
      </c>
    </row>
    <row r="1754" spans="1:8" x14ac:dyDescent="0.25">
      <c r="A1754" t="s">
        <v>2642</v>
      </c>
      <c r="B1754" s="1">
        <v>44084</v>
      </c>
      <c r="C1754" s="1">
        <v>44168</v>
      </c>
      <c r="D1754" s="1">
        <v>44221</v>
      </c>
      <c r="E1754">
        <v>31932.720000000001</v>
      </c>
      <c r="F1754">
        <f t="shared" si="82"/>
        <v>2020</v>
      </c>
      <c r="G1754">
        <f t="shared" si="83"/>
        <v>2021</v>
      </c>
      <c r="H1754">
        <f t="shared" si="81"/>
        <v>1</v>
      </c>
    </row>
    <row r="1755" spans="1:8" x14ac:dyDescent="0.25">
      <c r="A1755" t="s">
        <v>2226</v>
      </c>
      <c r="B1755" s="1">
        <v>44573</v>
      </c>
      <c r="C1755" s="1">
        <v>44603</v>
      </c>
      <c r="D1755" s="1">
        <v>44984</v>
      </c>
      <c r="E1755">
        <v>10343.32</v>
      </c>
      <c r="F1755">
        <f t="shared" si="82"/>
        <v>2022</v>
      </c>
      <c r="G1755">
        <f t="shared" si="83"/>
        <v>2023</v>
      </c>
      <c r="H1755">
        <f t="shared" si="81"/>
        <v>1</v>
      </c>
    </row>
    <row r="1756" spans="1:8" x14ac:dyDescent="0.25">
      <c r="A1756" t="s">
        <v>2879</v>
      </c>
      <c r="B1756" s="1">
        <v>43973</v>
      </c>
      <c r="C1756" s="1">
        <v>43975</v>
      </c>
      <c r="D1756" s="1">
        <v>44058</v>
      </c>
      <c r="E1756">
        <v>44512.84</v>
      </c>
      <c r="F1756">
        <f t="shared" si="82"/>
        <v>2020</v>
      </c>
      <c r="G1756">
        <f t="shared" si="83"/>
        <v>2020</v>
      </c>
      <c r="H1756">
        <f t="shared" si="81"/>
        <v>0</v>
      </c>
    </row>
    <row r="1757" spans="1:8" x14ac:dyDescent="0.25">
      <c r="A1757" t="s">
        <v>2594</v>
      </c>
      <c r="B1757" s="1">
        <v>44902</v>
      </c>
      <c r="C1757" s="1">
        <v>44911</v>
      </c>
      <c r="D1757" s="1">
        <v>44988</v>
      </c>
      <c r="E1757">
        <v>52803.5</v>
      </c>
      <c r="F1757">
        <f t="shared" si="82"/>
        <v>2022</v>
      </c>
      <c r="G1757">
        <f t="shared" si="83"/>
        <v>2023</v>
      </c>
      <c r="H1757">
        <f t="shared" si="81"/>
        <v>1</v>
      </c>
    </row>
    <row r="1758" spans="1:8" x14ac:dyDescent="0.25">
      <c r="A1758" t="s">
        <v>2544</v>
      </c>
      <c r="B1758" s="1">
        <v>45266</v>
      </c>
      <c r="C1758" s="1">
        <v>45348</v>
      </c>
      <c r="D1758" s="1">
        <v>45685</v>
      </c>
      <c r="E1758">
        <v>54455.51</v>
      </c>
      <c r="F1758">
        <f t="shared" si="82"/>
        <v>2023</v>
      </c>
      <c r="G1758">
        <f t="shared" si="83"/>
        <v>2025</v>
      </c>
      <c r="H1758">
        <f t="shared" si="81"/>
        <v>2</v>
      </c>
    </row>
    <row r="1759" spans="1:8" x14ac:dyDescent="0.25">
      <c r="A1759" t="s">
        <v>2212</v>
      </c>
      <c r="B1759" s="1">
        <v>44422</v>
      </c>
      <c r="C1759" s="1">
        <v>44478</v>
      </c>
      <c r="D1759" s="1">
        <v>44597</v>
      </c>
      <c r="E1759">
        <v>-15779.65</v>
      </c>
      <c r="F1759">
        <f t="shared" si="82"/>
        <v>2021</v>
      </c>
      <c r="G1759">
        <f t="shared" si="83"/>
        <v>2022</v>
      </c>
      <c r="H1759">
        <f t="shared" si="81"/>
        <v>1</v>
      </c>
    </row>
    <row r="1760" spans="1:8" x14ac:dyDescent="0.25">
      <c r="A1760" t="s">
        <v>2442</v>
      </c>
      <c r="B1760" s="1">
        <v>44427</v>
      </c>
      <c r="C1760" s="1">
        <v>44462</v>
      </c>
      <c r="D1760" s="1">
        <v>44739</v>
      </c>
      <c r="E1760">
        <v>82887.62</v>
      </c>
      <c r="F1760">
        <f t="shared" si="82"/>
        <v>2021</v>
      </c>
      <c r="G1760">
        <f t="shared" si="83"/>
        <v>2022</v>
      </c>
      <c r="H1760">
        <f t="shared" si="81"/>
        <v>1</v>
      </c>
    </row>
    <row r="1761" spans="1:8" x14ac:dyDescent="0.25">
      <c r="A1761" t="s">
        <v>2765</v>
      </c>
      <c r="B1761" s="1">
        <v>45474</v>
      </c>
      <c r="C1761" s="1">
        <v>45515</v>
      </c>
      <c r="D1761" s="1">
        <v>45730</v>
      </c>
      <c r="E1761">
        <v>3065.83</v>
      </c>
      <c r="F1761">
        <f t="shared" si="82"/>
        <v>2024</v>
      </c>
      <c r="G1761">
        <f t="shared" si="83"/>
        <v>2025</v>
      </c>
      <c r="H1761">
        <f t="shared" si="81"/>
        <v>1</v>
      </c>
    </row>
    <row r="1762" spans="1:8" x14ac:dyDescent="0.25">
      <c r="A1762" t="s">
        <v>2728</v>
      </c>
      <c r="B1762" s="1">
        <v>44534</v>
      </c>
      <c r="C1762" s="1">
        <v>44592</v>
      </c>
      <c r="D1762" s="1">
        <v>45240</v>
      </c>
      <c r="E1762">
        <v>67352.350000000006</v>
      </c>
      <c r="F1762">
        <f t="shared" si="82"/>
        <v>2021</v>
      </c>
      <c r="G1762">
        <f t="shared" si="83"/>
        <v>2023</v>
      </c>
      <c r="H1762">
        <f t="shared" si="81"/>
        <v>2</v>
      </c>
    </row>
    <row r="1763" spans="1:8" x14ac:dyDescent="0.25">
      <c r="A1763" t="s">
        <v>2643</v>
      </c>
      <c r="B1763" s="1">
        <v>45284</v>
      </c>
      <c r="C1763" s="1">
        <v>45347</v>
      </c>
      <c r="D1763" s="1">
        <v>45785</v>
      </c>
      <c r="E1763">
        <v>28094.65</v>
      </c>
      <c r="F1763">
        <f t="shared" si="82"/>
        <v>2023</v>
      </c>
      <c r="G1763">
        <f t="shared" si="83"/>
        <v>2025</v>
      </c>
      <c r="H1763">
        <f t="shared" si="81"/>
        <v>2</v>
      </c>
    </row>
    <row r="1764" spans="1:8" x14ac:dyDescent="0.25">
      <c r="A1764" t="s">
        <v>2743</v>
      </c>
      <c r="B1764" s="1">
        <v>44401</v>
      </c>
      <c r="C1764" s="1">
        <v>44463</v>
      </c>
      <c r="D1764" s="1">
        <v>44658</v>
      </c>
      <c r="E1764">
        <v>-15961.01</v>
      </c>
      <c r="F1764">
        <f t="shared" si="82"/>
        <v>2021</v>
      </c>
      <c r="G1764">
        <f t="shared" si="83"/>
        <v>2022</v>
      </c>
      <c r="H1764">
        <f t="shared" si="81"/>
        <v>1</v>
      </c>
    </row>
    <row r="1765" spans="1:8" x14ac:dyDescent="0.25">
      <c r="A1765" t="s">
        <v>2295</v>
      </c>
      <c r="B1765" s="1">
        <v>45371</v>
      </c>
      <c r="C1765" s="1">
        <v>45375</v>
      </c>
      <c r="D1765" s="1">
        <v>45446</v>
      </c>
      <c r="E1765">
        <v>-2631.8</v>
      </c>
      <c r="F1765">
        <f t="shared" si="82"/>
        <v>2024</v>
      </c>
      <c r="G1765">
        <f t="shared" si="83"/>
        <v>2024</v>
      </c>
      <c r="H1765">
        <f t="shared" si="81"/>
        <v>0</v>
      </c>
    </row>
    <row r="1766" spans="1:8" x14ac:dyDescent="0.25">
      <c r="A1766" t="s">
        <v>2437</v>
      </c>
      <c r="B1766" s="1">
        <v>45012</v>
      </c>
      <c r="C1766" s="1">
        <v>45024</v>
      </c>
      <c r="D1766" s="1">
        <v>45177</v>
      </c>
      <c r="E1766">
        <v>10005.91</v>
      </c>
      <c r="F1766">
        <f t="shared" si="82"/>
        <v>2023</v>
      </c>
      <c r="G1766">
        <f t="shared" si="83"/>
        <v>2023</v>
      </c>
      <c r="H1766">
        <f t="shared" si="81"/>
        <v>0</v>
      </c>
    </row>
    <row r="1767" spans="1:8" x14ac:dyDescent="0.25">
      <c r="A1767" t="s">
        <v>2771</v>
      </c>
      <c r="B1767" s="1">
        <v>44020</v>
      </c>
      <c r="C1767" s="1">
        <v>44085</v>
      </c>
      <c r="D1767" s="1">
        <v>44442</v>
      </c>
      <c r="E1767">
        <v>81199.100000000006</v>
      </c>
      <c r="F1767">
        <f t="shared" si="82"/>
        <v>2020</v>
      </c>
      <c r="G1767">
        <f t="shared" si="83"/>
        <v>2021</v>
      </c>
      <c r="H1767">
        <f t="shared" si="81"/>
        <v>1</v>
      </c>
    </row>
    <row r="1768" spans="1:8" x14ac:dyDescent="0.25">
      <c r="A1768" t="s">
        <v>2291</v>
      </c>
      <c r="B1768" s="1">
        <v>45416</v>
      </c>
      <c r="C1768" s="1">
        <v>45440</v>
      </c>
      <c r="D1768" s="1">
        <v>45794</v>
      </c>
      <c r="E1768">
        <v>-21584.79</v>
      </c>
      <c r="F1768">
        <f t="shared" si="82"/>
        <v>2024</v>
      </c>
      <c r="G1768">
        <f t="shared" si="83"/>
        <v>2025</v>
      </c>
      <c r="H1768">
        <f t="shared" si="81"/>
        <v>1</v>
      </c>
    </row>
    <row r="1769" spans="1:8" x14ac:dyDescent="0.25">
      <c r="A1769" t="s">
        <v>2880</v>
      </c>
      <c r="B1769" s="1">
        <v>44882</v>
      </c>
      <c r="C1769" s="1">
        <v>44960</v>
      </c>
      <c r="D1769" s="1">
        <v>45104</v>
      </c>
      <c r="E1769">
        <v>5892.94</v>
      </c>
      <c r="F1769">
        <f t="shared" si="82"/>
        <v>2022</v>
      </c>
      <c r="G1769">
        <f t="shared" si="83"/>
        <v>2023</v>
      </c>
      <c r="H1769">
        <f t="shared" si="81"/>
        <v>1</v>
      </c>
    </row>
    <row r="1770" spans="1:8" x14ac:dyDescent="0.25">
      <c r="A1770" t="s">
        <v>2881</v>
      </c>
      <c r="B1770" s="1">
        <v>43835</v>
      </c>
      <c r="C1770" s="1">
        <v>43901</v>
      </c>
      <c r="D1770" s="1">
        <v>43932</v>
      </c>
      <c r="E1770">
        <v>24999.88</v>
      </c>
      <c r="F1770">
        <f t="shared" si="82"/>
        <v>2020</v>
      </c>
      <c r="G1770">
        <f t="shared" si="83"/>
        <v>2020</v>
      </c>
      <c r="H1770">
        <f t="shared" si="81"/>
        <v>0</v>
      </c>
    </row>
    <row r="1771" spans="1:8" x14ac:dyDescent="0.25">
      <c r="A1771" t="s">
        <v>2184</v>
      </c>
      <c r="B1771" s="1">
        <v>43910</v>
      </c>
      <c r="C1771" s="1">
        <v>43943</v>
      </c>
      <c r="D1771" s="1">
        <v>44013</v>
      </c>
      <c r="E1771">
        <v>55838.05</v>
      </c>
      <c r="F1771">
        <f t="shared" si="82"/>
        <v>2020</v>
      </c>
      <c r="G1771">
        <f t="shared" si="83"/>
        <v>2020</v>
      </c>
      <c r="H1771">
        <f t="shared" si="81"/>
        <v>0</v>
      </c>
    </row>
    <row r="1772" spans="1:8" x14ac:dyDescent="0.25">
      <c r="A1772" t="s">
        <v>2833</v>
      </c>
      <c r="B1772" s="1">
        <v>43960</v>
      </c>
      <c r="C1772" s="1">
        <v>44037</v>
      </c>
      <c r="D1772" s="1">
        <v>44343</v>
      </c>
      <c r="E1772">
        <v>47233.24</v>
      </c>
      <c r="F1772">
        <f t="shared" si="82"/>
        <v>2020</v>
      </c>
      <c r="G1772">
        <f t="shared" si="83"/>
        <v>2021</v>
      </c>
      <c r="H1772">
        <f t="shared" si="81"/>
        <v>1</v>
      </c>
    </row>
    <row r="1773" spans="1:8" x14ac:dyDescent="0.25">
      <c r="A1773" t="s">
        <v>2882</v>
      </c>
      <c r="B1773" s="1">
        <v>44845</v>
      </c>
      <c r="C1773" s="1">
        <v>44873</v>
      </c>
      <c r="D1773" s="1">
        <v>44929</v>
      </c>
      <c r="E1773">
        <v>83937.11</v>
      </c>
      <c r="F1773">
        <f t="shared" si="82"/>
        <v>2022</v>
      </c>
      <c r="G1773">
        <f t="shared" si="83"/>
        <v>2023</v>
      </c>
      <c r="H1773">
        <f t="shared" si="81"/>
        <v>1</v>
      </c>
    </row>
    <row r="1774" spans="1:8" x14ac:dyDescent="0.25">
      <c r="A1774" t="s">
        <v>2593</v>
      </c>
      <c r="B1774" s="1">
        <v>44362</v>
      </c>
      <c r="C1774" s="1">
        <v>44393</v>
      </c>
      <c r="D1774" s="1">
        <v>44615</v>
      </c>
      <c r="E1774">
        <v>35151.599999999999</v>
      </c>
      <c r="F1774">
        <f t="shared" si="82"/>
        <v>2021</v>
      </c>
      <c r="G1774">
        <f t="shared" si="83"/>
        <v>2022</v>
      </c>
      <c r="H1774">
        <f t="shared" si="81"/>
        <v>1</v>
      </c>
    </row>
    <row r="1775" spans="1:8" x14ac:dyDescent="0.25">
      <c r="A1775" t="s">
        <v>2435</v>
      </c>
      <c r="B1775" s="1">
        <v>44237</v>
      </c>
      <c r="C1775" s="1">
        <v>44294</v>
      </c>
      <c r="D1775" s="1">
        <v>44415</v>
      </c>
      <c r="E1775">
        <v>71299.17</v>
      </c>
      <c r="F1775">
        <f t="shared" si="82"/>
        <v>2021</v>
      </c>
      <c r="G1775">
        <f t="shared" si="83"/>
        <v>2021</v>
      </c>
      <c r="H1775">
        <f t="shared" si="81"/>
        <v>0</v>
      </c>
    </row>
    <row r="1776" spans="1:8" x14ac:dyDescent="0.25">
      <c r="A1776" t="s">
        <v>2446</v>
      </c>
      <c r="B1776" s="1">
        <v>44743</v>
      </c>
      <c r="C1776" s="1">
        <v>44754</v>
      </c>
      <c r="D1776" s="1">
        <v>44902</v>
      </c>
      <c r="E1776">
        <v>71858.509999999995</v>
      </c>
      <c r="F1776">
        <f t="shared" si="82"/>
        <v>2022</v>
      </c>
      <c r="G1776">
        <f t="shared" si="83"/>
        <v>2022</v>
      </c>
      <c r="H1776">
        <f t="shared" si="81"/>
        <v>0</v>
      </c>
    </row>
    <row r="1777" spans="1:8" x14ac:dyDescent="0.25">
      <c r="A1777" t="s">
        <v>2141</v>
      </c>
      <c r="B1777" s="1">
        <v>45065</v>
      </c>
      <c r="C1777" s="1">
        <v>45117</v>
      </c>
      <c r="D1777" s="1">
        <v>45417</v>
      </c>
      <c r="E1777">
        <v>3270.08</v>
      </c>
      <c r="F1777">
        <f t="shared" si="82"/>
        <v>2023</v>
      </c>
      <c r="G1777">
        <f t="shared" si="83"/>
        <v>2024</v>
      </c>
      <c r="H1777">
        <f t="shared" si="81"/>
        <v>1</v>
      </c>
    </row>
    <row r="1778" spans="1:8" x14ac:dyDescent="0.25">
      <c r="A1778" t="s">
        <v>2623</v>
      </c>
      <c r="B1778" s="1">
        <v>45051</v>
      </c>
      <c r="C1778" s="1">
        <v>45137</v>
      </c>
      <c r="D1778" s="1">
        <v>45313</v>
      </c>
      <c r="E1778">
        <v>31052.26</v>
      </c>
      <c r="F1778">
        <f t="shared" si="82"/>
        <v>2023</v>
      </c>
      <c r="G1778">
        <f t="shared" si="83"/>
        <v>2024</v>
      </c>
      <c r="H1778">
        <f t="shared" si="81"/>
        <v>1</v>
      </c>
    </row>
    <row r="1779" spans="1:8" x14ac:dyDescent="0.25">
      <c r="A1779" t="s">
        <v>2165</v>
      </c>
      <c r="B1779" s="1">
        <v>44924</v>
      </c>
      <c r="C1779" s="1">
        <v>44956</v>
      </c>
      <c r="D1779" s="1">
        <v>45152</v>
      </c>
      <c r="E1779">
        <v>13061.65</v>
      </c>
      <c r="F1779">
        <f t="shared" si="82"/>
        <v>2022</v>
      </c>
      <c r="G1779">
        <f t="shared" si="83"/>
        <v>2023</v>
      </c>
      <c r="H1779">
        <f t="shared" si="81"/>
        <v>1</v>
      </c>
    </row>
    <row r="1780" spans="1:8" x14ac:dyDescent="0.25">
      <c r="A1780" t="s">
        <v>2883</v>
      </c>
      <c r="B1780" s="1">
        <v>44752</v>
      </c>
      <c r="C1780" s="1">
        <v>44825</v>
      </c>
      <c r="D1780" s="1">
        <v>45036</v>
      </c>
      <c r="E1780">
        <v>10179.08</v>
      </c>
      <c r="F1780">
        <f t="shared" si="82"/>
        <v>2022</v>
      </c>
      <c r="G1780">
        <f t="shared" si="83"/>
        <v>2023</v>
      </c>
      <c r="H1780">
        <f t="shared" si="81"/>
        <v>1</v>
      </c>
    </row>
    <row r="1781" spans="1:8" x14ac:dyDescent="0.25">
      <c r="A1781" t="s">
        <v>2679</v>
      </c>
      <c r="B1781" s="1">
        <v>44560</v>
      </c>
      <c r="C1781" s="1">
        <v>44646</v>
      </c>
      <c r="D1781" s="1">
        <v>44747</v>
      </c>
      <c r="E1781">
        <v>30234.84</v>
      </c>
      <c r="F1781">
        <f t="shared" si="82"/>
        <v>2021</v>
      </c>
      <c r="G1781">
        <f t="shared" si="83"/>
        <v>2022</v>
      </c>
      <c r="H1781">
        <f t="shared" si="81"/>
        <v>1</v>
      </c>
    </row>
    <row r="1782" spans="1:8" x14ac:dyDescent="0.25">
      <c r="A1782" t="s">
        <v>2862</v>
      </c>
      <c r="B1782" s="1">
        <v>45533</v>
      </c>
      <c r="C1782" s="1">
        <v>45546</v>
      </c>
      <c r="D1782" s="1">
        <v>45684</v>
      </c>
      <c r="E1782">
        <v>57570.11</v>
      </c>
      <c r="F1782">
        <f t="shared" si="82"/>
        <v>2024</v>
      </c>
      <c r="G1782">
        <f t="shared" si="83"/>
        <v>2025</v>
      </c>
      <c r="H1782">
        <f t="shared" si="81"/>
        <v>1</v>
      </c>
    </row>
    <row r="1783" spans="1:8" x14ac:dyDescent="0.25">
      <c r="A1783" t="s">
        <v>2412</v>
      </c>
      <c r="B1783" s="1">
        <v>43926</v>
      </c>
      <c r="C1783" s="1">
        <v>43982</v>
      </c>
      <c r="D1783" s="1">
        <v>44537</v>
      </c>
      <c r="E1783">
        <v>51658.99</v>
      </c>
      <c r="F1783">
        <f t="shared" si="82"/>
        <v>2020</v>
      </c>
      <c r="G1783">
        <f t="shared" si="83"/>
        <v>2021</v>
      </c>
      <c r="H1783">
        <f t="shared" si="81"/>
        <v>1</v>
      </c>
    </row>
    <row r="1784" spans="1:8" x14ac:dyDescent="0.25">
      <c r="A1784" t="s">
        <v>2330</v>
      </c>
      <c r="B1784" s="1">
        <v>45083</v>
      </c>
      <c r="C1784" s="1">
        <v>45157</v>
      </c>
      <c r="D1784" s="1">
        <v>45338</v>
      </c>
      <c r="E1784">
        <v>82994.42</v>
      </c>
      <c r="F1784">
        <f t="shared" si="82"/>
        <v>2023</v>
      </c>
      <c r="G1784">
        <f t="shared" si="83"/>
        <v>2024</v>
      </c>
      <c r="H1784">
        <f t="shared" si="81"/>
        <v>1</v>
      </c>
    </row>
    <row r="1785" spans="1:8" x14ac:dyDescent="0.25">
      <c r="A1785" t="s">
        <v>2646</v>
      </c>
      <c r="B1785" s="1">
        <v>44403</v>
      </c>
      <c r="C1785" s="1">
        <v>44461</v>
      </c>
      <c r="D1785" s="1">
        <v>44563</v>
      </c>
      <c r="E1785">
        <v>15678.91</v>
      </c>
      <c r="F1785">
        <f t="shared" si="82"/>
        <v>2021</v>
      </c>
      <c r="G1785">
        <f t="shared" si="83"/>
        <v>2022</v>
      </c>
      <c r="H1785">
        <f t="shared" si="81"/>
        <v>1</v>
      </c>
    </row>
    <row r="1786" spans="1:8" x14ac:dyDescent="0.25">
      <c r="A1786" t="s">
        <v>2874</v>
      </c>
      <c r="B1786" s="1">
        <v>44494</v>
      </c>
      <c r="C1786" s="1">
        <v>44578</v>
      </c>
      <c r="D1786" s="1">
        <v>44606</v>
      </c>
      <c r="E1786">
        <v>73189.429999999993</v>
      </c>
      <c r="F1786">
        <f t="shared" si="82"/>
        <v>2021</v>
      </c>
      <c r="G1786">
        <f t="shared" si="83"/>
        <v>2022</v>
      </c>
      <c r="H1786">
        <f t="shared" si="81"/>
        <v>1</v>
      </c>
    </row>
    <row r="1787" spans="1:8" x14ac:dyDescent="0.25">
      <c r="A1787" t="s">
        <v>2477</v>
      </c>
      <c r="B1787" s="1">
        <v>45089</v>
      </c>
      <c r="C1787" s="1">
        <v>45149</v>
      </c>
      <c r="D1787" s="1">
        <v>45437</v>
      </c>
      <c r="E1787">
        <v>26488.75</v>
      </c>
      <c r="F1787">
        <f t="shared" si="82"/>
        <v>2023</v>
      </c>
      <c r="G1787">
        <f t="shared" si="83"/>
        <v>2024</v>
      </c>
      <c r="H1787">
        <f t="shared" si="81"/>
        <v>1</v>
      </c>
    </row>
    <row r="1788" spans="1:8" x14ac:dyDescent="0.25">
      <c r="A1788" t="s">
        <v>2884</v>
      </c>
      <c r="B1788" s="1">
        <v>45551</v>
      </c>
      <c r="C1788" s="1">
        <v>45558</v>
      </c>
      <c r="D1788" s="1">
        <v>45786</v>
      </c>
      <c r="E1788">
        <v>33350.01</v>
      </c>
      <c r="F1788">
        <f t="shared" si="82"/>
        <v>2024</v>
      </c>
      <c r="G1788">
        <f t="shared" si="83"/>
        <v>2025</v>
      </c>
      <c r="H1788">
        <f t="shared" si="81"/>
        <v>1</v>
      </c>
    </row>
    <row r="1789" spans="1:8" x14ac:dyDescent="0.25">
      <c r="A1789" t="s">
        <v>2543</v>
      </c>
      <c r="B1789" s="1">
        <v>43991</v>
      </c>
      <c r="C1789" s="1">
        <v>44070</v>
      </c>
      <c r="D1789" s="1">
        <v>44133</v>
      </c>
      <c r="E1789">
        <v>34390.160000000003</v>
      </c>
      <c r="F1789">
        <f t="shared" si="82"/>
        <v>2020</v>
      </c>
      <c r="G1789">
        <f t="shared" si="83"/>
        <v>2020</v>
      </c>
      <c r="H1789">
        <f t="shared" si="81"/>
        <v>0</v>
      </c>
    </row>
    <row r="1790" spans="1:8" x14ac:dyDescent="0.25">
      <c r="A1790" t="s">
        <v>2309</v>
      </c>
      <c r="B1790" s="1">
        <v>44916</v>
      </c>
      <c r="C1790" s="1">
        <v>44918</v>
      </c>
      <c r="D1790" s="1">
        <v>45489</v>
      </c>
      <c r="E1790">
        <v>61991</v>
      </c>
      <c r="F1790">
        <f t="shared" si="82"/>
        <v>2022</v>
      </c>
      <c r="G1790">
        <f t="shared" si="83"/>
        <v>2024</v>
      </c>
      <c r="H1790">
        <f t="shared" si="81"/>
        <v>2</v>
      </c>
    </row>
    <row r="1791" spans="1:8" x14ac:dyDescent="0.25">
      <c r="A1791" t="s">
        <v>2287</v>
      </c>
      <c r="B1791" s="1">
        <v>43941</v>
      </c>
      <c r="C1791" s="1">
        <v>43976</v>
      </c>
      <c r="D1791" s="1">
        <v>44319</v>
      </c>
      <c r="E1791">
        <v>60200.17</v>
      </c>
      <c r="F1791">
        <f t="shared" si="82"/>
        <v>2020</v>
      </c>
      <c r="G1791">
        <f t="shared" si="83"/>
        <v>2021</v>
      </c>
      <c r="H1791">
        <f t="shared" si="81"/>
        <v>1</v>
      </c>
    </row>
    <row r="1792" spans="1:8" x14ac:dyDescent="0.25">
      <c r="A1792" t="s">
        <v>2497</v>
      </c>
      <c r="B1792" s="1">
        <v>43924</v>
      </c>
      <c r="C1792" s="1">
        <v>43979</v>
      </c>
      <c r="D1792" s="1">
        <v>44109</v>
      </c>
      <c r="E1792">
        <v>73268.100000000006</v>
      </c>
      <c r="F1792">
        <f t="shared" si="82"/>
        <v>2020</v>
      </c>
      <c r="G1792">
        <f t="shared" si="83"/>
        <v>2020</v>
      </c>
      <c r="H1792">
        <f t="shared" si="81"/>
        <v>0</v>
      </c>
    </row>
    <row r="1793" spans="1:8" x14ac:dyDescent="0.25">
      <c r="A1793" t="s">
        <v>2608</v>
      </c>
      <c r="B1793" s="1">
        <v>44728</v>
      </c>
      <c r="D1793" s="1">
        <v>45356</v>
      </c>
      <c r="E1793">
        <v>64137.84</v>
      </c>
      <c r="F1793">
        <f t="shared" si="82"/>
        <v>2022</v>
      </c>
      <c r="G1793">
        <f t="shared" si="83"/>
        <v>2024</v>
      </c>
      <c r="H1793">
        <f t="shared" si="81"/>
        <v>2</v>
      </c>
    </row>
    <row r="1794" spans="1:8" x14ac:dyDescent="0.25">
      <c r="A1794" t="s">
        <v>2334</v>
      </c>
      <c r="B1794" s="1">
        <v>45344</v>
      </c>
      <c r="C1794" s="1">
        <v>45391</v>
      </c>
      <c r="D1794" s="1">
        <v>45640</v>
      </c>
      <c r="E1794">
        <v>74469.25</v>
      </c>
      <c r="F1794">
        <f t="shared" si="82"/>
        <v>2024</v>
      </c>
      <c r="G1794">
        <f t="shared" si="83"/>
        <v>2024</v>
      </c>
      <c r="H1794">
        <f t="shared" ref="H1794:H1857" si="84">MAX(0,G1794-F1794)</f>
        <v>0</v>
      </c>
    </row>
    <row r="1795" spans="1:8" x14ac:dyDescent="0.25">
      <c r="A1795" t="s">
        <v>2658</v>
      </c>
      <c r="B1795" s="1">
        <v>45073</v>
      </c>
      <c r="C1795" s="1">
        <v>45085</v>
      </c>
      <c r="D1795" s="1">
        <v>45690</v>
      </c>
      <c r="E1795">
        <v>61015.27</v>
      </c>
      <c r="F1795">
        <f t="shared" ref="F1795:F1858" si="85">YEAR(B1795)</f>
        <v>2023</v>
      </c>
      <c r="G1795">
        <f t="shared" ref="G1795:G1858" si="86">YEAR(D1795)</f>
        <v>2025</v>
      </c>
      <c r="H1795">
        <f t="shared" si="84"/>
        <v>2</v>
      </c>
    </row>
    <row r="1796" spans="1:8" x14ac:dyDescent="0.25">
      <c r="A1796" t="s">
        <v>2732</v>
      </c>
      <c r="B1796" s="1">
        <v>45379</v>
      </c>
      <c r="C1796" s="1">
        <v>45443</v>
      </c>
      <c r="D1796" s="1">
        <v>45706</v>
      </c>
      <c r="E1796">
        <v>18581.05</v>
      </c>
      <c r="F1796">
        <f t="shared" si="85"/>
        <v>2024</v>
      </c>
      <c r="G1796">
        <f t="shared" si="86"/>
        <v>2025</v>
      </c>
      <c r="H1796">
        <f t="shared" si="84"/>
        <v>1</v>
      </c>
    </row>
    <row r="1797" spans="1:8" x14ac:dyDescent="0.25">
      <c r="A1797" t="s">
        <v>2403</v>
      </c>
      <c r="B1797" s="1">
        <v>43958</v>
      </c>
      <c r="C1797" s="1">
        <v>43982</v>
      </c>
      <c r="D1797" s="1">
        <v>44617</v>
      </c>
      <c r="E1797">
        <v>52240.63</v>
      </c>
      <c r="F1797">
        <f t="shared" si="85"/>
        <v>2020</v>
      </c>
      <c r="G1797">
        <f t="shared" si="86"/>
        <v>2022</v>
      </c>
      <c r="H1797">
        <f t="shared" si="84"/>
        <v>2</v>
      </c>
    </row>
    <row r="1798" spans="1:8" x14ac:dyDescent="0.25">
      <c r="A1798" t="s">
        <v>2534</v>
      </c>
      <c r="B1798" s="1">
        <v>44091</v>
      </c>
      <c r="C1798" s="1">
        <v>44151</v>
      </c>
      <c r="D1798" s="1">
        <v>44293</v>
      </c>
      <c r="E1798">
        <v>-1821.21</v>
      </c>
      <c r="F1798">
        <f t="shared" si="85"/>
        <v>2020</v>
      </c>
      <c r="G1798">
        <f t="shared" si="86"/>
        <v>2021</v>
      </c>
      <c r="H1798">
        <f t="shared" si="84"/>
        <v>1</v>
      </c>
    </row>
    <row r="1799" spans="1:8" x14ac:dyDescent="0.25">
      <c r="A1799" t="s">
        <v>2312</v>
      </c>
      <c r="B1799" s="1">
        <v>45413</v>
      </c>
      <c r="C1799" s="1">
        <v>45446</v>
      </c>
      <c r="D1799" s="1">
        <v>45736</v>
      </c>
      <c r="E1799">
        <v>74692.52</v>
      </c>
      <c r="F1799">
        <f t="shared" si="85"/>
        <v>2024</v>
      </c>
      <c r="G1799">
        <f t="shared" si="86"/>
        <v>2025</v>
      </c>
      <c r="H1799">
        <f t="shared" si="84"/>
        <v>1</v>
      </c>
    </row>
    <row r="1800" spans="1:8" x14ac:dyDescent="0.25">
      <c r="A1800" t="s">
        <v>2858</v>
      </c>
      <c r="B1800" s="1">
        <v>44860</v>
      </c>
      <c r="C1800" s="1">
        <v>44919</v>
      </c>
      <c r="D1800" s="1">
        <v>45116</v>
      </c>
      <c r="E1800">
        <v>-16303.81</v>
      </c>
      <c r="F1800">
        <f t="shared" si="85"/>
        <v>2022</v>
      </c>
      <c r="G1800">
        <f t="shared" si="86"/>
        <v>2023</v>
      </c>
      <c r="H1800">
        <f t="shared" si="84"/>
        <v>1</v>
      </c>
    </row>
    <row r="1801" spans="1:8" x14ac:dyDescent="0.25">
      <c r="A1801" t="s">
        <v>2737</v>
      </c>
      <c r="B1801" s="1">
        <v>45232</v>
      </c>
      <c r="C1801" s="1">
        <v>45279</v>
      </c>
      <c r="D1801" s="1">
        <v>45193</v>
      </c>
      <c r="E1801">
        <v>68576.84</v>
      </c>
      <c r="F1801">
        <f t="shared" si="85"/>
        <v>2023</v>
      </c>
      <c r="G1801">
        <f t="shared" si="86"/>
        <v>2023</v>
      </c>
      <c r="H1801">
        <f t="shared" si="84"/>
        <v>0</v>
      </c>
    </row>
    <row r="1802" spans="1:8" x14ac:dyDescent="0.25">
      <c r="A1802" t="s">
        <v>2577</v>
      </c>
      <c r="B1802" s="1">
        <v>43975</v>
      </c>
      <c r="C1802" s="1">
        <v>44060</v>
      </c>
      <c r="D1802" s="1">
        <v>44573</v>
      </c>
      <c r="E1802">
        <v>57445.34</v>
      </c>
      <c r="F1802">
        <f t="shared" si="85"/>
        <v>2020</v>
      </c>
      <c r="G1802">
        <f t="shared" si="86"/>
        <v>2022</v>
      </c>
      <c r="H1802">
        <f t="shared" si="84"/>
        <v>2</v>
      </c>
    </row>
    <row r="1803" spans="1:8" x14ac:dyDescent="0.25">
      <c r="A1803" t="s">
        <v>2885</v>
      </c>
      <c r="B1803" s="1">
        <v>44014</v>
      </c>
      <c r="D1803" s="1">
        <v>44138</v>
      </c>
      <c r="E1803">
        <v>8495.51</v>
      </c>
      <c r="F1803">
        <f t="shared" si="85"/>
        <v>2020</v>
      </c>
      <c r="G1803">
        <f t="shared" si="86"/>
        <v>2020</v>
      </c>
      <c r="H1803">
        <f t="shared" si="84"/>
        <v>0</v>
      </c>
    </row>
    <row r="1804" spans="1:8" x14ac:dyDescent="0.25">
      <c r="A1804" t="s">
        <v>2886</v>
      </c>
      <c r="B1804" s="1">
        <v>45639</v>
      </c>
      <c r="C1804" s="1">
        <v>45703</v>
      </c>
      <c r="D1804" s="1">
        <v>45803</v>
      </c>
      <c r="E1804">
        <v>59143.49</v>
      </c>
      <c r="F1804">
        <f t="shared" si="85"/>
        <v>2024</v>
      </c>
      <c r="G1804">
        <f t="shared" si="86"/>
        <v>2025</v>
      </c>
      <c r="H1804">
        <f t="shared" si="84"/>
        <v>1</v>
      </c>
    </row>
    <row r="1805" spans="1:8" x14ac:dyDescent="0.25">
      <c r="A1805" t="s">
        <v>2887</v>
      </c>
      <c r="B1805" s="1">
        <v>44081</v>
      </c>
      <c r="C1805" s="1">
        <v>44135</v>
      </c>
      <c r="D1805" s="1">
        <v>44433</v>
      </c>
      <c r="E1805">
        <v>14133</v>
      </c>
      <c r="F1805">
        <f t="shared" si="85"/>
        <v>2020</v>
      </c>
      <c r="G1805">
        <f t="shared" si="86"/>
        <v>2021</v>
      </c>
      <c r="H1805">
        <f t="shared" si="84"/>
        <v>1</v>
      </c>
    </row>
    <row r="1806" spans="1:8" x14ac:dyDescent="0.25">
      <c r="A1806" t="s">
        <v>2424</v>
      </c>
      <c r="B1806" s="1">
        <v>44471</v>
      </c>
      <c r="C1806" s="1">
        <v>44559</v>
      </c>
      <c r="D1806" s="1">
        <v>44701</v>
      </c>
      <c r="E1806">
        <v>47577.45</v>
      </c>
      <c r="F1806">
        <f t="shared" si="85"/>
        <v>2021</v>
      </c>
      <c r="G1806">
        <f t="shared" si="86"/>
        <v>2022</v>
      </c>
      <c r="H1806">
        <f t="shared" si="84"/>
        <v>1</v>
      </c>
    </row>
    <row r="1807" spans="1:8" x14ac:dyDescent="0.25">
      <c r="A1807" t="s">
        <v>2274</v>
      </c>
      <c r="B1807" s="1">
        <v>44566</v>
      </c>
      <c r="C1807" s="1">
        <v>44602</v>
      </c>
      <c r="D1807" s="1">
        <v>44629</v>
      </c>
      <c r="E1807">
        <v>39876.35</v>
      </c>
      <c r="F1807">
        <f t="shared" si="85"/>
        <v>2022</v>
      </c>
      <c r="G1807">
        <f t="shared" si="86"/>
        <v>2022</v>
      </c>
      <c r="H1807">
        <f t="shared" si="84"/>
        <v>0</v>
      </c>
    </row>
    <row r="1808" spans="1:8" x14ac:dyDescent="0.25">
      <c r="A1808" t="s">
        <v>2148</v>
      </c>
      <c r="B1808" s="1">
        <v>44276</v>
      </c>
      <c r="C1808" s="1">
        <v>44286</v>
      </c>
      <c r="D1808" s="1">
        <v>44521</v>
      </c>
      <c r="E1808">
        <v>46274.97</v>
      </c>
      <c r="F1808">
        <f t="shared" si="85"/>
        <v>2021</v>
      </c>
      <c r="G1808">
        <f t="shared" si="86"/>
        <v>2021</v>
      </c>
      <c r="H1808">
        <f t="shared" si="84"/>
        <v>0</v>
      </c>
    </row>
    <row r="1809" spans="1:8" x14ac:dyDescent="0.25">
      <c r="A1809" t="s">
        <v>2159</v>
      </c>
      <c r="B1809" s="1">
        <v>43851</v>
      </c>
      <c r="C1809" s="1">
        <v>43901</v>
      </c>
      <c r="D1809" s="1">
        <v>44001</v>
      </c>
      <c r="E1809">
        <v>66823.960000000006</v>
      </c>
      <c r="F1809">
        <f t="shared" si="85"/>
        <v>2020</v>
      </c>
      <c r="G1809">
        <f t="shared" si="86"/>
        <v>2020</v>
      </c>
      <c r="H1809">
        <f t="shared" si="84"/>
        <v>0</v>
      </c>
    </row>
    <row r="1810" spans="1:8" x14ac:dyDescent="0.25">
      <c r="A1810" t="s">
        <v>2539</v>
      </c>
      <c r="B1810" s="1">
        <v>45532</v>
      </c>
      <c r="C1810" s="1">
        <v>45591</v>
      </c>
      <c r="D1810" s="1">
        <v>45738</v>
      </c>
      <c r="E1810">
        <v>9113.4599999999991</v>
      </c>
      <c r="F1810">
        <f t="shared" si="85"/>
        <v>2024</v>
      </c>
      <c r="G1810">
        <f t="shared" si="86"/>
        <v>2025</v>
      </c>
      <c r="H1810">
        <f t="shared" si="84"/>
        <v>1</v>
      </c>
    </row>
    <row r="1811" spans="1:8" x14ac:dyDescent="0.25">
      <c r="A1811" t="s">
        <v>2413</v>
      </c>
      <c r="B1811" s="1">
        <v>44936</v>
      </c>
      <c r="C1811" s="1">
        <v>44968</v>
      </c>
      <c r="D1811" s="1">
        <v>45545</v>
      </c>
      <c r="E1811">
        <v>61653.53</v>
      </c>
      <c r="F1811">
        <f t="shared" si="85"/>
        <v>2023</v>
      </c>
      <c r="G1811">
        <f t="shared" si="86"/>
        <v>2024</v>
      </c>
      <c r="H1811">
        <f t="shared" si="84"/>
        <v>1</v>
      </c>
    </row>
    <row r="1812" spans="1:8" x14ac:dyDescent="0.25">
      <c r="A1812" t="s">
        <v>2884</v>
      </c>
      <c r="B1812" s="1">
        <v>45551</v>
      </c>
      <c r="C1812" s="1">
        <v>45558</v>
      </c>
      <c r="D1812" s="1">
        <v>45748</v>
      </c>
      <c r="E1812">
        <v>64298.46</v>
      </c>
      <c r="F1812">
        <f t="shared" si="85"/>
        <v>2024</v>
      </c>
      <c r="G1812">
        <f t="shared" si="86"/>
        <v>2025</v>
      </c>
      <c r="H1812">
        <f t="shared" si="84"/>
        <v>1</v>
      </c>
    </row>
    <row r="1813" spans="1:8" x14ac:dyDescent="0.25">
      <c r="A1813" t="s">
        <v>2423</v>
      </c>
      <c r="B1813" s="1">
        <v>44615</v>
      </c>
      <c r="C1813" s="1">
        <v>44677</v>
      </c>
      <c r="D1813" s="1">
        <v>44898</v>
      </c>
      <c r="E1813">
        <v>-16500.13</v>
      </c>
      <c r="F1813">
        <f t="shared" si="85"/>
        <v>2022</v>
      </c>
      <c r="G1813">
        <f t="shared" si="86"/>
        <v>2022</v>
      </c>
      <c r="H1813">
        <f t="shared" si="84"/>
        <v>0</v>
      </c>
    </row>
    <row r="1814" spans="1:8" x14ac:dyDescent="0.25">
      <c r="A1814" t="s">
        <v>2888</v>
      </c>
      <c r="B1814" s="1">
        <v>45131</v>
      </c>
      <c r="C1814" s="1">
        <v>45178</v>
      </c>
      <c r="D1814" s="1">
        <v>45477</v>
      </c>
      <c r="E1814">
        <v>65985.08</v>
      </c>
      <c r="F1814">
        <f t="shared" si="85"/>
        <v>2023</v>
      </c>
      <c r="G1814">
        <f t="shared" si="86"/>
        <v>2024</v>
      </c>
      <c r="H1814">
        <f t="shared" si="84"/>
        <v>1</v>
      </c>
    </row>
    <row r="1815" spans="1:8" x14ac:dyDescent="0.25">
      <c r="A1815" t="s">
        <v>2889</v>
      </c>
      <c r="B1815" s="1">
        <v>44675</v>
      </c>
      <c r="D1815" s="1">
        <v>44695</v>
      </c>
      <c r="E1815">
        <v>23346.19</v>
      </c>
      <c r="F1815">
        <f t="shared" si="85"/>
        <v>2022</v>
      </c>
      <c r="G1815">
        <f t="shared" si="86"/>
        <v>2022</v>
      </c>
      <c r="H1815">
        <f t="shared" si="84"/>
        <v>0</v>
      </c>
    </row>
    <row r="1816" spans="1:8" x14ac:dyDescent="0.25">
      <c r="A1816" t="s">
        <v>2320</v>
      </c>
      <c r="B1816" s="1">
        <v>45514</v>
      </c>
      <c r="C1816" s="1">
        <v>45520</v>
      </c>
      <c r="D1816" s="1">
        <v>45551</v>
      </c>
      <c r="E1816">
        <v>62405.84</v>
      </c>
      <c r="F1816">
        <f t="shared" si="85"/>
        <v>2024</v>
      </c>
      <c r="G1816">
        <f t="shared" si="86"/>
        <v>2024</v>
      </c>
      <c r="H1816">
        <f t="shared" si="84"/>
        <v>0</v>
      </c>
    </row>
    <row r="1817" spans="1:8" x14ac:dyDescent="0.25">
      <c r="A1817" t="s">
        <v>2354</v>
      </c>
      <c r="B1817" s="1">
        <v>44880</v>
      </c>
      <c r="C1817" s="1">
        <v>44929</v>
      </c>
      <c r="D1817" s="1">
        <v>45023</v>
      </c>
      <c r="E1817">
        <v>83910.29</v>
      </c>
      <c r="F1817">
        <f t="shared" si="85"/>
        <v>2022</v>
      </c>
      <c r="G1817">
        <f t="shared" si="86"/>
        <v>2023</v>
      </c>
      <c r="H1817">
        <f t="shared" si="84"/>
        <v>1</v>
      </c>
    </row>
    <row r="1818" spans="1:8" x14ac:dyDescent="0.25">
      <c r="A1818" t="s">
        <v>2816</v>
      </c>
      <c r="B1818" s="1">
        <v>44507</v>
      </c>
      <c r="C1818" s="1">
        <v>44593</v>
      </c>
      <c r="D1818" s="1">
        <v>44730</v>
      </c>
      <c r="E1818">
        <v>-5683.04</v>
      </c>
      <c r="F1818">
        <f t="shared" si="85"/>
        <v>2021</v>
      </c>
      <c r="G1818">
        <f t="shared" si="86"/>
        <v>2022</v>
      </c>
      <c r="H1818">
        <f t="shared" si="84"/>
        <v>1</v>
      </c>
    </row>
    <row r="1819" spans="1:8" x14ac:dyDescent="0.25">
      <c r="A1819" t="s">
        <v>2806</v>
      </c>
      <c r="B1819" s="1">
        <v>45386</v>
      </c>
      <c r="C1819" s="1">
        <v>45397</v>
      </c>
      <c r="D1819" s="1">
        <v>45740</v>
      </c>
      <c r="E1819">
        <v>11302.05</v>
      </c>
      <c r="F1819">
        <f t="shared" si="85"/>
        <v>2024</v>
      </c>
      <c r="G1819">
        <f t="shared" si="86"/>
        <v>2025</v>
      </c>
      <c r="H1819">
        <f t="shared" si="84"/>
        <v>1</v>
      </c>
    </row>
    <row r="1820" spans="1:8" x14ac:dyDescent="0.25">
      <c r="A1820" t="s">
        <v>2146</v>
      </c>
      <c r="B1820" s="1">
        <v>43892</v>
      </c>
      <c r="C1820" s="1">
        <v>43981</v>
      </c>
      <c r="D1820" s="1">
        <v>44162</v>
      </c>
      <c r="E1820">
        <v>53558.09</v>
      </c>
      <c r="F1820">
        <f t="shared" si="85"/>
        <v>2020</v>
      </c>
      <c r="G1820">
        <f t="shared" si="86"/>
        <v>2020</v>
      </c>
      <c r="H1820">
        <f t="shared" si="84"/>
        <v>0</v>
      </c>
    </row>
    <row r="1821" spans="1:8" x14ac:dyDescent="0.25">
      <c r="A1821" t="s">
        <v>2328</v>
      </c>
      <c r="B1821" s="1">
        <v>44606</v>
      </c>
      <c r="C1821" s="1">
        <v>44676</v>
      </c>
      <c r="D1821" s="1">
        <v>44954</v>
      </c>
      <c r="E1821">
        <v>60923.62</v>
      </c>
      <c r="F1821">
        <f t="shared" si="85"/>
        <v>2022</v>
      </c>
      <c r="G1821">
        <f t="shared" si="86"/>
        <v>2023</v>
      </c>
      <c r="H1821">
        <f t="shared" si="84"/>
        <v>1</v>
      </c>
    </row>
    <row r="1822" spans="1:8" x14ac:dyDescent="0.25">
      <c r="A1822" t="s">
        <v>2890</v>
      </c>
      <c r="B1822" s="1">
        <v>45100</v>
      </c>
      <c r="C1822" s="1">
        <v>45106</v>
      </c>
      <c r="D1822" s="1">
        <v>45289</v>
      </c>
      <c r="E1822">
        <v>4102.38</v>
      </c>
      <c r="F1822">
        <f t="shared" si="85"/>
        <v>2023</v>
      </c>
      <c r="G1822">
        <f t="shared" si="86"/>
        <v>2023</v>
      </c>
      <c r="H1822">
        <f t="shared" si="84"/>
        <v>0</v>
      </c>
    </row>
    <row r="1823" spans="1:8" x14ac:dyDescent="0.25">
      <c r="A1823" t="s">
        <v>2393</v>
      </c>
      <c r="B1823" s="1">
        <v>44356</v>
      </c>
      <c r="C1823" s="1">
        <v>44431</v>
      </c>
      <c r="D1823" s="1">
        <v>44713</v>
      </c>
      <c r="E1823">
        <v>24203.42</v>
      </c>
      <c r="F1823">
        <f t="shared" si="85"/>
        <v>2021</v>
      </c>
      <c r="G1823">
        <f t="shared" si="86"/>
        <v>2022</v>
      </c>
      <c r="H1823">
        <f t="shared" si="84"/>
        <v>1</v>
      </c>
    </row>
    <row r="1824" spans="1:8" x14ac:dyDescent="0.25">
      <c r="A1824" t="s">
        <v>2511</v>
      </c>
      <c r="B1824" s="1">
        <v>44953</v>
      </c>
      <c r="D1824" s="1">
        <v>45112</v>
      </c>
      <c r="E1824">
        <v>2796.67</v>
      </c>
      <c r="F1824">
        <f t="shared" si="85"/>
        <v>2023</v>
      </c>
      <c r="G1824">
        <f t="shared" si="86"/>
        <v>2023</v>
      </c>
      <c r="H1824">
        <f t="shared" si="84"/>
        <v>0</v>
      </c>
    </row>
    <row r="1825" spans="1:8" x14ac:dyDescent="0.25">
      <c r="A1825" t="s">
        <v>2458</v>
      </c>
      <c r="B1825" s="1">
        <v>44456</v>
      </c>
      <c r="C1825" s="1">
        <v>44510</v>
      </c>
      <c r="D1825" s="1">
        <v>45142</v>
      </c>
      <c r="E1825">
        <v>19293.2</v>
      </c>
      <c r="F1825">
        <f t="shared" si="85"/>
        <v>2021</v>
      </c>
      <c r="G1825">
        <f t="shared" si="86"/>
        <v>2023</v>
      </c>
      <c r="H1825">
        <f t="shared" si="84"/>
        <v>2</v>
      </c>
    </row>
    <row r="1826" spans="1:8" x14ac:dyDescent="0.25">
      <c r="A1826" t="s">
        <v>2160</v>
      </c>
      <c r="B1826" s="1">
        <v>44984</v>
      </c>
      <c r="C1826" s="1">
        <v>45053</v>
      </c>
      <c r="D1826" s="1">
        <v>45580</v>
      </c>
      <c r="E1826">
        <v>33760.050000000003</v>
      </c>
      <c r="F1826">
        <f t="shared" si="85"/>
        <v>2023</v>
      </c>
      <c r="G1826">
        <f t="shared" si="86"/>
        <v>2024</v>
      </c>
      <c r="H1826">
        <f t="shared" si="84"/>
        <v>1</v>
      </c>
    </row>
    <row r="1827" spans="1:8" x14ac:dyDescent="0.25">
      <c r="A1827" t="s">
        <v>2883</v>
      </c>
      <c r="B1827" s="1">
        <v>44752</v>
      </c>
      <c r="C1827" s="1">
        <v>44825</v>
      </c>
      <c r="D1827" s="1">
        <v>44924</v>
      </c>
      <c r="E1827">
        <v>2978.83</v>
      </c>
      <c r="F1827">
        <f t="shared" si="85"/>
        <v>2022</v>
      </c>
      <c r="G1827">
        <f t="shared" si="86"/>
        <v>2022</v>
      </c>
      <c r="H1827">
        <f t="shared" si="84"/>
        <v>0</v>
      </c>
    </row>
    <row r="1828" spans="1:8" x14ac:dyDescent="0.25">
      <c r="A1828" t="s">
        <v>2871</v>
      </c>
      <c r="B1828" s="1">
        <v>45127</v>
      </c>
      <c r="C1828" s="1">
        <v>45214</v>
      </c>
      <c r="D1828" s="1">
        <v>45605</v>
      </c>
      <c r="E1828">
        <v>70511.600000000006</v>
      </c>
      <c r="F1828">
        <f t="shared" si="85"/>
        <v>2023</v>
      </c>
      <c r="G1828">
        <f t="shared" si="86"/>
        <v>2024</v>
      </c>
      <c r="H1828">
        <f t="shared" si="84"/>
        <v>1</v>
      </c>
    </row>
    <row r="1829" spans="1:8" x14ac:dyDescent="0.25">
      <c r="A1829" t="s">
        <v>2204</v>
      </c>
      <c r="B1829" s="1">
        <v>45098</v>
      </c>
      <c r="C1829" s="1">
        <v>45187</v>
      </c>
      <c r="D1829" s="1">
        <v>45295</v>
      </c>
      <c r="E1829">
        <v>80081.960000000006</v>
      </c>
      <c r="F1829">
        <f t="shared" si="85"/>
        <v>2023</v>
      </c>
      <c r="G1829">
        <f t="shared" si="86"/>
        <v>2024</v>
      </c>
      <c r="H1829">
        <f t="shared" si="84"/>
        <v>1</v>
      </c>
    </row>
    <row r="1830" spans="1:8" x14ac:dyDescent="0.25">
      <c r="A1830" t="s">
        <v>2732</v>
      </c>
      <c r="B1830" s="1">
        <v>45379</v>
      </c>
      <c r="C1830" s="1">
        <v>45443</v>
      </c>
      <c r="D1830" s="1">
        <v>45750</v>
      </c>
      <c r="E1830">
        <v>10808.39</v>
      </c>
      <c r="F1830">
        <f t="shared" si="85"/>
        <v>2024</v>
      </c>
      <c r="G1830">
        <f t="shared" si="86"/>
        <v>2025</v>
      </c>
      <c r="H1830">
        <f t="shared" si="84"/>
        <v>1</v>
      </c>
    </row>
    <row r="1831" spans="1:8" x14ac:dyDescent="0.25">
      <c r="A1831" t="s">
        <v>2519</v>
      </c>
      <c r="B1831" s="1">
        <v>43982</v>
      </c>
      <c r="C1831" s="1">
        <v>44005</v>
      </c>
      <c r="D1831" s="1">
        <v>44107</v>
      </c>
      <c r="E1831">
        <v>35233.94</v>
      </c>
      <c r="F1831">
        <f t="shared" si="85"/>
        <v>2020</v>
      </c>
      <c r="G1831">
        <f t="shared" si="86"/>
        <v>2020</v>
      </c>
      <c r="H1831">
        <f t="shared" si="84"/>
        <v>0</v>
      </c>
    </row>
    <row r="1832" spans="1:8" x14ac:dyDescent="0.25">
      <c r="A1832" t="s">
        <v>2891</v>
      </c>
      <c r="B1832" s="1">
        <v>45243</v>
      </c>
      <c r="C1832" s="1">
        <v>45257</v>
      </c>
      <c r="D1832" s="1">
        <v>45558</v>
      </c>
      <c r="E1832">
        <v>46445.91</v>
      </c>
      <c r="F1832">
        <f t="shared" si="85"/>
        <v>2023</v>
      </c>
      <c r="G1832">
        <f t="shared" si="86"/>
        <v>2024</v>
      </c>
      <c r="H1832">
        <f t="shared" si="84"/>
        <v>1</v>
      </c>
    </row>
    <row r="1833" spans="1:8" x14ac:dyDescent="0.25">
      <c r="A1833" t="s">
        <v>2264</v>
      </c>
      <c r="B1833" s="1">
        <v>44792</v>
      </c>
      <c r="C1833" s="1">
        <v>44812</v>
      </c>
      <c r="D1833" s="1">
        <v>44858</v>
      </c>
      <c r="E1833">
        <v>80054.429999999993</v>
      </c>
      <c r="F1833">
        <f t="shared" si="85"/>
        <v>2022</v>
      </c>
      <c r="G1833">
        <f t="shared" si="86"/>
        <v>2022</v>
      </c>
      <c r="H1833">
        <f t="shared" si="84"/>
        <v>0</v>
      </c>
    </row>
    <row r="1834" spans="1:8" x14ac:dyDescent="0.25">
      <c r="A1834" t="s">
        <v>2892</v>
      </c>
      <c r="B1834" s="1">
        <v>45219</v>
      </c>
      <c r="C1834" s="1">
        <v>45277</v>
      </c>
      <c r="D1834" s="1">
        <v>45351</v>
      </c>
      <c r="E1834">
        <v>37565.339999999997</v>
      </c>
      <c r="F1834">
        <f t="shared" si="85"/>
        <v>2023</v>
      </c>
      <c r="G1834">
        <f t="shared" si="86"/>
        <v>2024</v>
      </c>
      <c r="H1834">
        <f t="shared" si="84"/>
        <v>1</v>
      </c>
    </row>
    <row r="1835" spans="1:8" x14ac:dyDescent="0.25">
      <c r="A1835" t="s">
        <v>2853</v>
      </c>
      <c r="B1835" s="1">
        <v>44895</v>
      </c>
      <c r="C1835" s="1">
        <v>44940</v>
      </c>
      <c r="D1835" s="1">
        <v>45312</v>
      </c>
      <c r="E1835">
        <v>-12309.27</v>
      </c>
      <c r="F1835">
        <f t="shared" si="85"/>
        <v>2022</v>
      </c>
      <c r="G1835">
        <f t="shared" si="86"/>
        <v>2024</v>
      </c>
      <c r="H1835">
        <f t="shared" si="84"/>
        <v>2</v>
      </c>
    </row>
    <row r="1836" spans="1:8" x14ac:dyDescent="0.25">
      <c r="A1836" t="s">
        <v>2893</v>
      </c>
      <c r="B1836" s="1">
        <v>44020</v>
      </c>
      <c r="C1836" s="1">
        <v>44060</v>
      </c>
      <c r="D1836" s="1">
        <v>44245</v>
      </c>
      <c r="E1836">
        <v>-24257.72</v>
      </c>
      <c r="F1836">
        <f t="shared" si="85"/>
        <v>2020</v>
      </c>
      <c r="G1836">
        <f t="shared" si="86"/>
        <v>2021</v>
      </c>
      <c r="H1836">
        <f t="shared" si="84"/>
        <v>1</v>
      </c>
    </row>
    <row r="1837" spans="1:8" x14ac:dyDescent="0.25">
      <c r="A1837" t="s">
        <v>2670</v>
      </c>
      <c r="B1837" s="1">
        <v>45115</v>
      </c>
      <c r="C1837" s="1">
        <v>45156</v>
      </c>
      <c r="D1837" s="1">
        <v>45263</v>
      </c>
      <c r="E1837">
        <v>56897.29</v>
      </c>
      <c r="F1837">
        <f t="shared" si="85"/>
        <v>2023</v>
      </c>
      <c r="G1837">
        <f t="shared" si="86"/>
        <v>2023</v>
      </c>
      <c r="H1837">
        <f t="shared" si="84"/>
        <v>0</v>
      </c>
    </row>
    <row r="1838" spans="1:8" x14ac:dyDescent="0.25">
      <c r="A1838" t="s">
        <v>2447</v>
      </c>
      <c r="B1838" s="1">
        <v>45554</v>
      </c>
      <c r="C1838" s="1">
        <v>45618</v>
      </c>
      <c r="D1838" s="1">
        <v>45646</v>
      </c>
      <c r="E1838">
        <v>33718.120000000003</v>
      </c>
      <c r="F1838">
        <f t="shared" si="85"/>
        <v>2024</v>
      </c>
      <c r="G1838">
        <f t="shared" si="86"/>
        <v>2024</v>
      </c>
      <c r="H1838">
        <f t="shared" si="84"/>
        <v>0</v>
      </c>
    </row>
    <row r="1839" spans="1:8" x14ac:dyDescent="0.25">
      <c r="A1839" t="s">
        <v>2547</v>
      </c>
      <c r="B1839" s="1">
        <v>45228</v>
      </c>
      <c r="C1839" s="1">
        <v>45242</v>
      </c>
      <c r="D1839" s="1">
        <v>45340</v>
      </c>
      <c r="E1839">
        <v>59243.31</v>
      </c>
      <c r="F1839">
        <f t="shared" si="85"/>
        <v>2023</v>
      </c>
      <c r="G1839">
        <f t="shared" si="86"/>
        <v>2024</v>
      </c>
      <c r="H1839">
        <f t="shared" si="84"/>
        <v>1</v>
      </c>
    </row>
    <row r="1840" spans="1:8" x14ac:dyDescent="0.25">
      <c r="A1840" t="s">
        <v>2200</v>
      </c>
      <c r="B1840" s="1">
        <v>44445</v>
      </c>
      <c r="C1840" s="1">
        <v>44487</v>
      </c>
      <c r="D1840" s="1">
        <v>44723</v>
      </c>
      <c r="E1840">
        <v>79871.12</v>
      </c>
      <c r="F1840">
        <f t="shared" si="85"/>
        <v>2021</v>
      </c>
      <c r="G1840">
        <f t="shared" si="86"/>
        <v>2022</v>
      </c>
      <c r="H1840">
        <f t="shared" si="84"/>
        <v>1</v>
      </c>
    </row>
    <row r="1841" spans="1:8" x14ac:dyDescent="0.25">
      <c r="A1841" t="s">
        <v>2484</v>
      </c>
      <c r="B1841" s="1">
        <v>45290</v>
      </c>
      <c r="C1841" s="1">
        <v>45310</v>
      </c>
      <c r="D1841" s="1">
        <v>45586</v>
      </c>
      <c r="E1841">
        <v>54476.08</v>
      </c>
      <c r="F1841">
        <f t="shared" si="85"/>
        <v>2023</v>
      </c>
      <c r="G1841">
        <f t="shared" si="86"/>
        <v>2024</v>
      </c>
      <c r="H1841">
        <f t="shared" si="84"/>
        <v>1</v>
      </c>
    </row>
    <row r="1842" spans="1:8" x14ac:dyDescent="0.25">
      <c r="A1842" t="s">
        <v>2805</v>
      </c>
      <c r="B1842" s="1">
        <v>44787</v>
      </c>
      <c r="C1842" s="1">
        <v>44829</v>
      </c>
      <c r="D1842" s="1">
        <v>45116</v>
      </c>
      <c r="E1842">
        <v>65382.5</v>
      </c>
      <c r="F1842">
        <f t="shared" si="85"/>
        <v>2022</v>
      </c>
      <c r="G1842">
        <f t="shared" si="86"/>
        <v>2023</v>
      </c>
      <c r="H1842">
        <f t="shared" si="84"/>
        <v>1</v>
      </c>
    </row>
    <row r="1843" spans="1:8" x14ac:dyDescent="0.25">
      <c r="A1843" t="s">
        <v>2677</v>
      </c>
      <c r="B1843" s="1">
        <v>45533</v>
      </c>
      <c r="C1843" s="1">
        <v>45571</v>
      </c>
      <c r="D1843" s="1">
        <v>45775</v>
      </c>
      <c r="E1843">
        <v>71122.2</v>
      </c>
      <c r="F1843">
        <f t="shared" si="85"/>
        <v>2024</v>
      </c>
      <c r="G1843">
        <f t="shared" si="86"/>
        <v>2025</v>
      </c>
      <c r="H1843">
        <f t="shared" si="84"/>
        <v>1</v>
      </c>
    </row>
    <row r="1844" spans="1:8" x14ac:dyDescent="0.25">
      <c r="A1844" t="s">
        <v>2146</v>
      </c>
      <c r="B1844" s="1">
        <v>43892</v>
      </c>
      <c r="C1844" s="1">
        <v>43981</v>
      </c>
      <c r="D1844" s="1">
        <v>44014</v>
      </c>
      <c r="E1844">
        <v>39264.6</v>
      </c>
      <c r="F1844">
        <f t="shared" si="85"/>
        <v>2020</v>
      </c>
      <c r="G1844">
        <f t="shared" si="86"/>
        <v>2020</v>
      </c>
      <c r="H1844">
        <f t="shared" si="84"/>
        <v>0</v>
      </c>
    </row>
    <row r="1845" spans="1:8" x14ac:dyDescent="0.25">
      <c r="A1845" t="s">
        <v>2511</v>
      </c>
      <c r="B1845" s="1">
        <v>44953</v>
      </c>
      <c r="D1845" s="1">
        <v>45169</v>
      </c>
      <c r="E1845">
        <v>29406.880000000001</v>
      </c>
      <c r="F1845">
        <f t="shared" si="85"/>
        <v>2023</v>
      </c>
      <c r="G1845">
        <f t="shared" si="86"/>
        <v>2023</v>
      </c>
      <c r="H1845">
        <f t="shared" si="84"/>
        <v>0</v>
      </c>
    </row>
    <row r="1846" spans="1:8" x14ac:dyDescent="0.25">
      <c r="A1846" t="s">
        <v>2309</v>
      </c>
      <c r="B1846" s="1">
        <v>44916</v>
      </c>
      <c r="C1846" s="1">
        <v>44918</v>
      </c>
      <c r="D1846" s="1">
        <v>45256</v>
      </c>
      <c r="E1846">
        <v>82295.02</v>
      </c>
      <c r="F1846">
        <f t="shared" si="85"/>
        <v>2022</v>
      </c>
      <c r="G1846">
        <f t="shared" si="86"/>
        <v>2023</v>
      </c>
      <c r="H1846">
        <f t="shared" si="84"/>
        <v>1</v>
      </c>
    </row>
    <row r="1847" spans="1:8" x14ac:dyDescent="0.25">
      <c r="A1847" t="s">
        <v>2877</v>
      </c>
      <c r="B1847" s="1">
        <v>45549</v>
      </c>
      <c r="C1847" s="1">
        <v>45565</v>
      </c>
      <c r="D1847" s="1">
        <v>45691</v>
      </c>
      <c r="E1847">
        <v>71276.429999999993</v>
      </c>
      <c r="F1847">
        <f t="shared" si="85"/>
        <v>2024</v>
      </c>
      <c r="G1847">
        <f t="shared" si="86"/>
        <v>2025</v>
      </c>
      <c r="H1847">
        <f t="shared" si="84"/>
        <v>1</v>
      </c>
    </row>
    <row r="1848" spans="1:8" x14ac:dyDescent="0.25">
      <c r="A1848" t="s">
        <v>2618</v>
      </c>
      <c r="B1848" s="1">
        <v>44564</v>
      </c>
      <c r="C1848" s="1">
        <v>44616</v>
      </c>
      <c r="D1848" s="1">
        <v>45070</v>
      </c>
      <c r="E1848">
        <v>-11247.51</v>
      </c>
      <c r="F1848">
        <f t="shared" si="85"/>
        <v>2022</v>
      </c>
      <c r="G1848">
        <f t="shared" si="86"/>
        <v>2023</v>
      </c>
      <c r="H1848">
        <f t="shared" si="84"/>
        <v>1</v>
      </c>
    </row>
    <row r="1849" spans="1:8" x14ac:dyDescent="0.25">
      <c r="A1849" t="s">
        <v>2894</v>
      </c>
      <c r="B1849" s="1">
        <v>45037</v>
      </c>
      <c r="C1849" s="1">
        <v>45038</v>
      </c>
      <c r="D1849" s="1">
        <v>45027</v>
      </c>
      <c r="E1849">
        <v>48510.43</v>
      </c>
      <c r="F1849">
        <f t="shared" si="85"/>
        <v>2023</v>
      </c>
      <c r="G1849">
        <f t="shared" si="86"/>
        <v>2023</v>
      </c>
      <c r="H1849">
        <f t="shared" si="84"/>
        <v>0</v>
      </c>
    </row>
    <row r="1850" spans="1:8" x14ac:dyDescent="0.25">
      <c r="A1850" t="s">
        <v>2750</v>
      </c>
      <c r="B1850" s="1">
        <v>45241</v>
      </c>
      <c r="C1850" s="1">
        <v>45319</v>
      </c>
      <c r="D1850" s="1">
        <v>45590</v>
      </c>
      <c r="E1850">
        <v>14996.83</v>
      </c>
      <c r="F1850">
        <f t="shared" si="85"/>
        <v>2023</v>
      </c>
      <c r="G1850">
        <f t="shared" si="86"/>
        <v>2024</v>
      </c>
      <c r="H1850">
        <f t="shared" si="84"/>
        <v>1</v>
      </c>
    </row>
    <row r="1851" spans="1:8" x14ac:dyDescent="0.25">
      <c r="A1851" t="s">
        <v>2414</v>
      </c>
      <c r="B1851" s="1">
        <v>44248</v>
      </c>
      <c r="C1851" s="1">
        <v>44279</v>
      </c>
      <c r="D1851" s="1">
        <v>44521</v>
      </c>
      <c r="E1851">
        <v>-22834.22</v>
      </c>
      <c r="F1851">
        <f t="shared" si="85"/>
        <v>2021</v>
      </c>
      <c r="G1851">
        <f t="shared" si="86"/>
        <v>2021</v>
      </c>
      <c r="H1851">
        <f t="shared" si="84"/>
        <v>0</v>
      </c>
    </row>
    <row r="1852" spans="1:8" x14ac:dyDescent="0.25">
      <c r="A1852" t="s">
        <v>2691</v>
      </c>
      <c r="B1852" s="1">
        <v>44101</v>
      </c>
      <c r="C1852" s="1">
        <v>44144</v>
      </c>
      <c r="D1852" s="1">
        <v>44280</v>
      </c>
      <c r="E1852">
        <v>34228.550000000003</v>
      </c>
      <c r="F1852">
        <f t="shared" si="85"/>
        <v>2020</v>
      </c>
      <c r="G1852">
        <f t="shared" si="86"/>
        <v>2021</v>
      </c>
      <c r="H1852">
        <f t="shared" si="84"/>
        <v>1</v>
      </c>
    </row>
    <row r="1853" spans="1:8" x14ac:dyDescent="0.25">
      <c r="A1853" t="s">
        <v>2895</v>
      </c>
      <c r="B1853" s="1">
        <v>44219</v>
      </c>
      <c r="D1853" s="1">
        <v>44307</v>
      </c>
      <c r="E1853">
        <v>59499.29</v>
      </c>
      <c r="F1853">
        <f t="shared" si="85"/>
        <v>2021</v>
      </c>
      <c r="G1853">
        <f t="shared" si="86"/>
        <v>2021</v>
      </c>
      <c r="H1853">
        <f t="shared" si="84"/>
        <v>0</v>
      </c>
    </row>
    <row r="1854" spans="1:8" x14ac:dyDescent="0.25">
      <c r="A1854" t="s">
        <v>2896</v>
      </c>
      <c r="B1854" s="1">
        <v>44750</v>
      </c>
      <c r="C1854" s="1">
        <v>44777</v>
      </c>
      <c r="D1854" s="1">
        <v>44825</v>
      </c>
      <c r="E1854">
        <v>66925.73</v>
      </c>
      <c r="F1854">
        <f t="shared" si="85"/>
        <v>2022</v>
      </c>
      <c r="G1854">
        <f t="shared" si="86"/>
        <v>2022</v>
      </c>
      <c r="H1854">
        <f t="shared" si="84"/>
        <v>0</v>
      </c>
    </row>
    <row r="1855" spans="1:8" x14ac:dyDescent="0.25">
      <c r="A1855" t="s">
        <v>2878</v>
      </c>
      <c r="B1855" s="1">
        <v>44063</v>
      </c>
      <c r="C1855" s="1">
        <v>44140</v>
      </c>
      <c r="D1855" s="1">
        <v>44330</v>
      </c>
      <c r="E1855">
        <v>16787.560000000001</v>
      </c>
      <c r="F1855">
        <f t="shared" si="85"/>
        <v>2020</v>
      </c>
      <c r="G1855">
        <f t="shared" si="86"/>
        <v>2021</v>
      </c>
      <c r="H1855">
        <f t="shared" si="84"/>
        <v>1</v>
      </c>
    </row>
    <row r="1856" spans="1:8" x14ac:dyDescent="0.25">
      <c r="A1856" t="s">
        <v>2301</v>
      </c>
      <c r="B1856" s="1">
        <v>45095</v>
      </c>
      <c r="C1856" s="1">
        <v>45144</v>
      </c>
      <c r="D1856" s="1">
        <v>45266</v>
      </c>
      <c r="E1856">
        <v>24176.39</v>
      </c>
      <c r="F1856">
        <f t="shared" si="85"/>
        <v>2023</v>
      </c>
      <c r="G1856">
        <f t="shared" si="86"/>
        <v>2023</v>
      </c>
      <c r="H1856">
        <f t="shared" si="84"/>
        <v>0</v>
      </c>
    </row>
    <row r="1857" spans="1:8" x14ac:dyDescent="0.25">
      <c r="A1857" t="s">
        <v>2508</v>
      </c>
      <c r="B1857" s="1">
        <v>43978</v>
      </c>
      <c r="C1857" s="1">
        <v>44065</v>
      </c>
      <c r="D1857" s="1">
        <v>44165</v>
      </c>
      <c r="E1857">
        <v>49093.09</v>
      </c>
      <c r="F1857">
        <f t="shared" si="85"/>
        <v>2020</v>
      </c>
      <c r="G1857">
        <f t="shared" si="86"/>
        <v>2020</v>
      </c>
      <c r="H1857">
        <f t="shared" si="84"/>
        <v>0</v>
      </c>
    </row>
    <row r="1858" spans="1:8" x14ac:dyDescent="0.25">
      <c r="A1858" t="s">
        <v>2809</v>
      </c>
      <c r="B1858" s="1">
        <v>44588</v>
      </c>
      <c r="C1858" s="1">
        <v>44622</v>
      </c>
      <c r="D1858" s="1">
        <v>44761</v>
      </c>
      <c r="E1858">
        <v>11732.53</v>
      </c>
      <c r="F1858">
        <f t="shared" si="85"/>
        <v>2022</v>
      </c>
      <c r="G1858">
        <f t="shared" si="86"/>
        <v>2022</v>
      </c>
      <c r="H1858">
        <f t="shared" ref="H1858:H1921" si="87">MAX(0,G1858-F1858)</f>
        <v>0</v>
      </c>
    </row>
    <row r="1859" spans="1:8" x14ac:dyDescent="0.25">
      <c r="A1859" t="s">
        <v>2895</v>
      </c>
      <c r="B1859" s="1">
        <v>44219</v>
      </c>
      <c r="D1859" s="1">
        <v>44326</v>
      </c>
      <c r="E1859">
        <v>28667.52</v>
      </c>
      <c r="F1859">
        <f t="shared" ref="F1859:F1922" si="88">YEAR(B1859)</f>
        <v>2021</v>
      </c>
      <c r="G1859">
        <f t="shared" ref="G1859:G1922" si="89">YEAR(D1859)</f>
        <v>2021</v>
      </c>
      <c r="H1859">
        <f t="shared" si="87"/>
        <v>0</v>
      </c>
    </row>
    <row r="1860" spans="1:8" x14ac:dyDescent="0.25">
      <c r="A1860" t="s">
        <v>2643</v>
      </c>
      <c r="B1860" s="1">
        <v>45284</v>
      </c>
      <c r="C1860" s="1">
        <v>45347</v>
      </c>
      <c r="D1860" s="1">
        <v>45591</v>
      </c>
      <c r="E1860">
        <v>67385.240000000005</v>
      </c>
      <c r="F1860">
        <f t="shared" si="88"/>
        <v>2023</v>
      </c>
      <c r="G1860">
        <f t="shared" si="89"/>
        <v>2024</v>
      </c>
      <c r="H1860">
        <f t="shared" si="87"/>
        <v>1</v>
      </c>
    </row>
    <row r="1861" spans="1:8" x14ac:dyDescent="0.25">
      <c r="A1861" t="s">
        <v>2682</v>
      </c>
      <c r="B1861" s="1">
        <v>44305</v>
      </c>
      <c r="C1861" s="1">
        <v>44336</v>
      </c>
      <c r="D1861" s="1">
        <v>44600</v>
      </c>
      <c r="E1861">
        <v>73124.78</v>
      </c>
      <c r="F1861">
        <f t="shared" si="88"/>
        <v>2021</v>
      </c>
      <c r="G1861">
        <f t="shared" si="89"/>
        <v>2022</v>
      </c>
      <c r="H1861">
        <f t="shared" si="87"/>
        <v>1</v>
      </c>
    </row>
    <row r="1862" spans="1:8" x14ac:dyDescent="0.25">
      <c r="A1862" t="s">
        <v>2277</v>
      </c>
      <c r="B1862" s="1">
        <v>43881</v>
      </c>
      <c r="C1862" s="1">
        <v>43941</v>
      </c>
      <c r="D1862" s="1">
        <v>44229</v>
      </c>
      <c r="E1862">
        <v>44100.02</v>
      </c>
      <c r="F1862">
        <f t="shared" si="88"/>
        <v>2020</v>
      </c>
      <c r="G1862">
        <f t="shared" si="89"/>
        <v>2021</v>
      </c>
      <c r="H1862">
        <f t="shared" si="87"/>
        <v>1</v>
      </c>
    </row>
    <row r="1863" spans="1:8" x14ac:dyDescent="0.25">
      <c r="A1863" t="s">
        <v>2470</v>
      </c>
      <c r="B1863" s="1">
        <v>44894</v>
      </c>
      <c r="C1863" s="1">
        <v>44936</v>
      </c>
      <c r="D1863" s="1">
        <v>45130</v>
      </c>
      <c r="E1863">
        <v>81110.42</v>
      </c>
      <c r="F1863">
        <f t="shared" si="88"/>
        <v>2022</v>
      </c>
      <c r="G1863">
        <f t="shared" si="89"/>
        <v>2023</v>
      </c>
      <c r="H1863">
        <f t="shared" si="87"/>
        <v>1</v>
      </c>
    </row>
    <row r="1864" spans="1:8" x14ac:dyDescent="0.25">
      <c r="A1864" t="s">
        <v>2704</v>
      </c>
      <c r="B1864" s="1">
        <v>45457</v>
      </c>
      <c r="C1864" s="1">
        <v>45540</v>
      </c>
      <c r="D1864" s="1">
        <v>45681</v>
      </c>
      <c r="E1864">
        <v>10075.709999999999</v>
      </c>
      <c r="F1864">
        <f t="shared" si="88"/>
        <v>2024</v>
      </c>
      <c r="G1864">
        <f t="shared" si="89"/>
        <v>2025</v>
      </c>
      <c r="H1864">
        <f t="shared" si="87"/>
        <v>1</v>
      </c>
    </row>
    <row r="1865" spans="1:8" x14ac:dyDescent="0.25">
      <c r="A1865" t="s">
        <v>2214</v>
      </c>
      <c r="B1865" s="1">
        <v>44908</v>
      </c>
      <c r="C1865" s="1">
        <v>44953</v>
      </c>
      <c r="D1865" s="1">
        <v>45108</v>
      </c>
      <c r="E1865">
        <v>6903.94</v>
      </c>
      <c r="F1865">
        <f t="shared" si="88"/>
        <v>2022</v>
      </c>
      <c r="G1865">
        <f t="shared" si="89"/>
        <v>2023</v>
      </c>
      <c r="H1865">
        <f t="shared" si="87"/>
        <v>1</v>
      </c>
    </row>
    <row r="1866" spans="1:8" x14ac:dyDescent="0.25">
      <c r="A1866" t="s">
        <v>2342</v>
      </c>
      <c r="B1866" s="1">
        <v>44964</v>
      </c>
      <c r="C1866" s="1">
        <v>45029</v>
      </c>
      <c r="D1866" s="1">
        <v>45446</v>
      </c>
      <c r="E1866">
        <v>35073.19</v>
      </c>
      <c r="F1866">
        <f t="shared" si="88"/>
        <v>2023</v>
      </c>
      <c r="G1866">
        <f t="shared" si="89"/>
        <v>2024</v>
      </c>
      <c r="H1866">
        <f t="shared" si="87"/>
        <v>1</v>
      </c>
    </row>
    <row r="1867" spans="1:8" x14ac:dyDescent="0.25">
      <c r="A1867" t="s">
        <v>2217</v>
      </c>
      <c r="B1867" s="1">
        <v>43979</v>
      </c>
      <c r="C1867" s="1">
        <v>44024</v>
      </c>
      <c r="D1867" s="1">
        <v>44372</v>
      </c>
      <c r="E1867">
        <v>78800.149999999994</v>
      </c>
      <c r="F1867">
        <f t="shared" si="88"/>
        <v>2020</v>
      </c>
      <c r="G1867">
        <f t="shared" si="89"/>
        <v>2021</v>
      </c>
      <c r="H1867">
        <f t="shared" si="87"/>
        <v>1</v>
      </c>
    </row>
    <row r="1868" spans="1:8" x14ac:dyDescent="0.25">
      <c r="A1868" t="s">
        <v>2367</v>
      </c>
      <c r="B1868" s="1">
        <v>44469</v>
      </c>
      <c r="C1868" s="1">
        <v>44504</v>
      </c>
      <c r="D1868" s="1">
        <v>44887</v>
      </c>
      <c r="E1868">
        <v>29211.03</v>
      </c>
      <c r="F1868">
        <f t="shared" si="88"/>
        <v>2021</v>
      </c>
      <c r="G1868">
        <f t="shared" si="89"/>
        <v>2022</v>
      </c>
      <c r="H1868">
        <f t="shared" si="87"/>
        <v>1</v>
      </c>
    </row>
    <row r="1869" spans="1:8" x14ac:dyDescent="0.25">
      <c r="A1869" t="s">
        <v>2866</v>
      </c>
      <c r="B1869" s="1">
        <v>45489</v>
      </c>
      <c r="C1869" s="1">
        <v>45545</v>
      </c>
      <c r="D1869" s="1">
        <v>45611</v>
      </c>
      <c r="E1869">
        <v>58881.29</v>
      </c>
      <c r="F1869">
        <f t="shared" si="88"/>
        <v>2024</v>
      </c>
      <c r="G1869">
        <f t="shared" si="89"/>
        <v>2024</v>
      </c>
      <c r="H1869">
        <f t="shared" si="87"/>
        <v>0</v>
      </c>
    </row>
    <row r="1870" spans="1:8" x14ac:dyDescent="0.25">
      <c r="A1870" t="s">
        <v>2791</v>
      </c>
      <c r="B1870" s="1">
        <v>44714</v>
      </c>
      <c r="C1870" s="1">
        <v>44773</v>
      </c>
      <c r="D1870" s="1">
        <v>44901</v>
      </c>
      <c r="E1870">
        <v>53291.54</v>
      </c>
      <c r="F1870">
        <f t="shared" si="88"/>
        <v>2022</v>
      </c>
      <c r="G1870">
        <f t="shared" si="89"/>
        <v>2022</v>
      </c>
      <c r="H1870">
        <f t="shared" si="87"/>
        <v>0</v>
      </c>
    </row>
    <row r="1871" spans="1:8" x14ac:dyDescent="0.25">
      <c r="A1871" t="s">
        <v>2450</v>
      </c>
      <c r="B1871" s="1">
        <v>44103</v>
      </c>
      <c r="C1871" s="1">
        <v>44133</v>
      </c>
      <c r="D1871" s="1">
        <v>44331</v>
      </c>
      <c r="E1871">
        <v>59149.56</v>
      </c>
      <c r="F1871">
        <f t="shared" si="88"/>
        <v>2020</v>
      </c>
      <c r="G1871">
        <f t="shared" si="89"/>
        <v>2021</v>
      </c>
      <c r="H1871">
        <f t="shared" si="87"/>
        <v>1</v>
      </c>
    </row>
    <row r="1872" spans="1:8" x14ac:dyDescent="0.25">
      <c r="A1872" t="s">
        <v>2433</v>
      </c>
      <c r="B1872" s="1">
        <v>45041</v>
      </c>
      <c r="C1872" s="1">
        <v>45087</v>
      </c>
      <c r="D1872" s="1">
        <v>45659</v>
      </c>
      <c r="E1872">
        <v>24138.240000000002</v>
      </c>
      <c r="F1872">
        <f t="shared" si="88"/>
        <v>2023</v>
      </c>
      <c r="G1872">
        <f t="shared" si="89"/>
        <v>2025</v>
      </c>
      <c r="H1872">
        <f t="shared" si="87"/>
        <v>2</v>
      </c>
    </row>
    <row r="1873" spans="1:8" x14ac:dyDescent="0.25">
      <c r="A1873" t="s">
        <v>2268</v>
      </c>
      <c r="B1873" s="1">
        <v>43832</v>
      </c>
      <c r="C1873" s="1">
        <v>43882</v>
      </c>
      <c r="D1873" s="1">
        <v>44048</v>
      </c>
      <c r="E1873">
        <v>50559.83</v>
      </c>
      <c r="F1873">
        <f t="shared" si="88"/>
        <v>2020</v>
      </c>
      <c r="G1873">
        <f t="shared" si="89"/>
        <v>2020</v>
      </c>
      <c r="H1873">
        <f t="shared" si="87"/>
        <v>0</v>
      </c>
    </row>
    <row r="1874" spans="1:8" x14ac:dyDescent="0.25">
      <c r="A1874" t="s">
        <v>2190</v>
      </c>
      <c r="B1874" s="1">
        <v>43865</v>
      </c>
      <c r="C1874" s="1">
        <v>43925</v>
      </c>
      <c r="D1874" s="1">
        <v>44232</v>
      </c>
      <c r="E1874">
        <v>38336.660000000003</v>
      </c>
      <c r="F1874">
        <f t="shared" si="88"/>
        <v>2020</v>
      </c>
      <c r="G1874">
        <f t="shared" si="89"/>
        <v>2021</v>
      </c>
      <c r="H1874">
        <f t="shared" si="87"/>
        <v>1</v>
      </c>
    </row>
    <row r="1875" spans="1:8" x14ac:dyDescent="0.25">
      <c r="A1875" t="s">
        <v>2813</v>
      </c>
      <c r="B1875" s="1">
        <v>44768</v>
      </c>
      <c r="C1875" s="1">
        <v>44772</v>
      </c>
      <c r="D1875" s="1">
        <v>44913</v>
      </c>
      <c r="E1875">
        <v>76360.92</v>
      </c>
      <c r="F1875">
        <f t="shared" si="88"/>
        <v>2022</v>
      </c>
      <c r="G1875">
        <f t="shared" si="89"/>
        <v>2022</v>
      </c>
      <c r="H1875">
        <f t="shared" si="87"/>
        <v>0</v>
      </c>
    </row>
    <row r="1876" spans="1:8" x14ac:dyDescent="0.25">
      <c r="A1876" t="s">
        <v>2194</v>
      </c>
      <c r="B1876" s="1">
        <v>45191</v>
      </c>
      <c r="C1876" s="1">
        <v>45238</v>
      </c>
      <c r="D1876" s="1">
        <v>45473</v>
      </c>
      <c r="E1876">
        <v>7077.23</v>
      </c>
      <c r="F1876">
        <f t="shared" si="88"/>
        <v>2023</v>
      </c>
      <c r="G1876">
        <f t="shared" si="89"/>
        <v>2024</v>
      </c>
      <c r="H1876">
        <f t="shared" si="87"/>
        <v>1</v>
      </c>
    </row>
    <row r="1877" spans="1:8" x14ac:dyDescent="0.25">
      <c r="A1877" t="s">
        <v>2700</v>
      </c>
      <c r="B1877" s="1">
        <v>44378</v>
      </c>
      <c r="C1877" s="1">
        <v>44426</v>
      </c>
      <c r="D1877" s="1">
        <v>44794</v>
      </c>
      <c r="E1877">
        <v>11583.8</v>
      </c>
      <c r="F1877">
        <f t="shared" si="88"/>
        <v>2021</v>
      </c>
      <c r="G1877">
        <f t="shared" si="89"/>
        <v>2022</v>
      </c>
      <c r="H1877">
        <f t="shared" si="87"/>
        <v>1</v>
      </c>
    </row>
    <row r="1878" spans="1:8" x14ac:dyDescent="0.25">
      <c r="A1878" t="s">
        <v>2442</v>
      </c>
      <c r="B1878" s="1">
        <v>44427</v>
      </c>
      <c r="C1878" s="1">
        <v>44462</v>
      </c>
      <c r="D1878" s="1">
        <v>44599</v>
      </c>
      <c r="E1878">
        <v>44404.92</v>
      </c>
      <c r="F1878">
        <f t="shared" si="88"/>
        <v>2021</v>
      </c>
      <c r="G1878">
        <f t="shared" si="89"/>
        <v>2022</v>
      </c>
      <c r="H1878">
        <f t="shared" si="87"/>
        <v>1</v>
      </c>
    </row>
    <row r="1879" spans="1:8" x14ac:dyDescent="0.25">
      <c r="A1879" t="s">
        <v>2897</v>
      </c>
      <c r="B1879" s="1">
        <v>44309</v>
      </c>
      <c r="C1879" s="1">
        <v>44311</v>
      </c>
      <c r="D1879" s="1">
        <v>44410</v>
      </c>
      <c r="E1879">
        <v>-6577.31</v>
      </c>
      <c r="F1879">
        <f t="shared" si="88"/>
        <v>2021</v>
      </c>
      <c r="G1879">
        <f t="shared" si="89"/>
        <v>2021</v>
      </c>
      <c r="H1879">
        <f t="shared" si="87"/>
        <v>0</v>
      </c>
    </row>
    <row r="1880" spans="1:8" x14ac:dyDescent="0.25">
      <c r="A1880" t="s">
        <v>2582</v>
      </c>
      <c r="B1880" s="1">
        <v>44487</v>
      </c>
      <c r="C1880" s="1">
        <v>44528</v>
      </c>
      <c r="D1880" s="1">
        <v>44646</v>
      </c>
      <c r="E1880">
        <v>5865.46</v>
      </c>
      <c r="F1880">
        <f t="shared" si="88"/>
        <v>2021</v>
      </c>
      <c r="G1880">
        <f t="shared" si="89"/>
        <v>2022</v>
      </c>
      <c r="H1880">
        <f t="shared" si="87"/>
        <v>1</v>
      </c>
    </row>
    <row r="1881" spans="1:8" x14ac:dyDescent="0.25">
      <c r="A1881" t="s">
        <v>2568</v>
      </c>
      <c r="B1881" s="1">
        <v>44589</v>
      </c>
      <c r="C1881" s="1">
        <v>44615</v>
      </c>
      <c r="D1881" s="1">
        <v>44737</v>
      </c>
      <c r="E1881">
        <v>4594.5</v>
      </c>
      <c r="F1881">
        <f t="shared" si="88"/>
        <v>2022</v>
      </c>
      <c r="G1881">
        <f t="shared" si="89"/>
        <v>2022</v>
      </c>
      <c r="H1881">
        <f t="shared" si="87"/>
        <v>0</v>
      </c>
    </row>
    <row r="1882" spans="1:8" x14ac:dyDescent="0.25">
      <c r="A1882" t="s">
        <v>2371</v>
      </c>
      <c r="B1882" s="1">
        <v>44902</v>
      </c>
      <c r="C1882" s="1">
        <v>44973</v>
      </c>
      <c r="D1882" s="1">
        <v>45225</v>
      </c>
      <c r="E1882">
        <v>37833.99</v>
      </c>
      <c r="F1882">
        <f t="shared" si="88"/>
        <v>2022</v>
      </c>
      <c r="G1882">
        <f t="shared" si="89"/>
        <v>2023</v>
      </c>
      <c r="H1882">
        <f t="shared" si="87"/>
        <v>1</v>
      </c>
    </row>
    <row r="1883" spans="1:8" x14ac:dyDescent="0.25">
      <c r="A1883" t="s">
        <v>2512</v>
      </c>
      <c r="B1883" s="1">
        <v>44561</v>
      </c>
      <c r="C1883" s="1">
        <v>44569</v>
      </c>
      <c r="D1883" s="1">
        <v>44776</v>
      </c>
      <c r="E1883">
        <v>45695.43</v>
      </c>
      <c r="F1883">
        <f t="shared" si="88"/>
        <v>2021</v>
      </c>
      <c r="G1883">
        <f t="shared" si="89"/>
        <v>2022</v>
      </c>
      <c r="H1883">
        <f t="shared" si="87"/>
        <v>1</v>
      </c>
    </row>
    <row r="1884" spans="1:8" x14ac:dyDescent="0.25">
      <c r="A1884" t="s">
        <v>2584</v>
      </c>
      <c r="B1884" s="1">
        <v>44721</v>
      </c>
      <c r="C1884" s="1">
        <v>44776</v>
      </c>
      <c r="D1884" s="1">
        <v>45266</v>
      </c>
      <c r="E1884">
        <v>72740.39</v>
      </c>
      <c r="F1884">
        <f t="shared" si="88"/>
        <v>2022</v>
      </c>
      <c r="G1884">
        <f t="shared" si="89"/>
        <v>2023</v>
      </c>
      <c r="H1884">
        <f t="shared" si="87"/>
        <v>1</v>
      </c>
    </row>
    <row r="1885" spans="1:8" x14ac:dyDescent="0.25">
      <c r="A1885" t="s">
        <v>2569</v>
      </c>
      <c r="B1885" s="1">
        <v>44855</v>
      </c>
      <c r="C1885" s="1">
        <v>44920</v>
      </c>
      <c r="D1885" s="1">
        <v>45302</v>
      </c>
      <c r="E1885">
        <v>6779.94</v>
      </c>
      <c r="F1885">
        <f t="shared" si="88"/>
        <v>2022</v>
      </c>
      <c r="G1885">
        <f t="shared" si="89"/>
        <v>2024</v>
      </c>
      <c r="H1885">
        <f t="shared" si="87"/>
        <v>2</v>
      </c>
    </row>
    <row r="1886" spans="1:8" x14ac:dyDescent="0.25">
      <c r="A1886" t="s">
        <v>2469</v>
      </c>
      <c r="B1886" s="1">
        <v>44075</v>
      </c>
      <c r="C1886" s="1">
        <v>44145</v>
      </c>
      <c r="D1886" s="1">
        <v>44608</v>
      </c>
      <c r="E1886">
        <v>-1722.88</v>
      </c>
      <c r="F1886">
        <f t="shared" si="88"/>
        <v>2020</v>
      </c>
      <c r="G1886">
        <f t="shared" si="89"/>
        <v>2022</v>
      </c>
      <c r="H1886">
        <f t="shared" si="87"/>
        <v>2</v>
      </c>
    </row>
    <row r="1887" spans="1:8" x14ac:dyDescent="0.25">
      <c r="A1887" t="s">
        <v>2577</v>
      </c>
      <c r="B1887" s="1">
        <v>43975</v>
      </c>
      <c r="C1887" s="1">
        <v>44060</v>
      </c>
      <c r="D1887" s="1">
        <v>44378</v>
      </c>
      <c r="E1887">
        <v>36122.559999999998</v>
      </c>
      <c r="F1887">
        <f t="shared" si="88"/>
        <v>2020</v>
      </c>
      <c r="G1887">
        <f t="shared" si="89"/>
        <v>2021</v>
      </c>
      <c r="H1887">
        <f t="shared" si="87"/>
        <v>1</v>
      </c>
    </row>
    <row r="1888" spans="1:8" x14ac:dyDescent="0.25">
      <c r="A1888" t="s">
        <v>2869</v>
      </c>
      <c r="B1888" s="1">
        <v>45002</v>
      </c>
      <c r="C1888" s="1">
        <v>45013</v>
      </c>
      <c r="D1888" s="1">
        <v>45221</v>
      </c>
      <c r="E1888">
        <v>73149.710000000006</v>
      </c>
      <c r="F1888">
        <f t="shared" si="88"/>
        <v>2023</v>
      </c>
      <c r="G1888">
        <f t="shared" si="89"/>
        <v>2023</v>
      </c>
      <c r="H1888">
        <f t="shared" si="87"/>
        <v>0</v>
      </c>
    </row>
    <row r="1889" spans="1:8" x14ac:dyDescent="0.25">
      <c r="A1889" t="s">
        <v>2613</v>
      </c>
      <c r="B1889" s="1">
        <v>45073</v>
      </c>
      <c r="C1889" s="1">
        <v>45154</v>
      </c>
      <c r="D1889" s="1">
        <v>45399</v>
      </c>
      <c r="E1889">
        <v>28340.44</v>
      </c>
      <c r="F1889">
        <f t="shared" si="88"/>
        <v>2023</v>
      </c>
      <c r="G1889">
        <f t="shared" si="89"/>
        <v>2024</v>
      </c>
      <c r="H1889">
        <f t="shared" si="87"/>
        <v>1</v>
      </c>
    </row>
    <row r="1890" spans="1:8" x14ac:dyDescent="0.25">
      <c r="A1890" t="s">
        <v>2182</v>
      </c>
      <c r="B1890" s="1">
        <v>44949</v>
      </c>
      <c r="C1890" s="1">
        <v>45015</v>
      </c>
      <c r="D1890" s="1">
        <v>45368</v>
      </c>
      <c r="E1890">
        <v>37470.69</v>
      </c>
      <c r="F1890">
        <f t="shared" si="88"/>
        <v>2023</v>
      </c>
      <c r="G1890">
        <f t="shared" si="89"/>
        <v>2024</v>
      </c>
      <c r="H1890">
        <f t="shared" si="87"/>
        <v>1</v>
      </c>
    </row>
    <row r="1891" spans="1:8" x14ac:dyDescent="0.25">
      <c r="A1891" t="s">
        <v>2311</v>
      </c>
      <c r="B1891" s="1">
        <v>44775</v>
      </c>
      <c r="C1891" s="1">
        <v>44835</v>
      </c>
      <c r="D1891" s="1">
        <v>45249</v>
      </c>
      <c r="E1891">
        <v>27034.91</v>
      </c>
      <c r="F1891">
        <f t="shared" si="88"/>
        <v>2022</v>
      </c>
      <c r="G1891">
        <f t="shared" si="89"/>
        <v>2023</v>
      </c>
      <c r="H1891">
        <f t="shared" si="87"/>
        <v>1</v>
      </c>
    </row>
    <row r="1892" spans="1:8" x14ac:dyDescent="0.25">
      <c r="A1892" t="s">
        <v>2508</v>
      </c>
      <c r="B1892" s="1">
        <v>43978</v>
      </c>
      <c r="C1892" s="1">
        <v>44065</v>
      </c>
      <c r="D1892" s="1">
        <v>44298</v>
      </c>
      <c r="E1892">
        <v>47990.400000000001</v>
      </c>
      <c r="F1892">
        <f t="shared" si="88"/>
        <v>2020</v>
      </c>
      <c r="G1892">
        <f t="shared" si="89"/>
        <v>2021</v>
      </c>
      <c r="H1892">
        <f t="shared" si="87"/>
        <v>1</v>
      </c>
    </row>
    <row r="1893" spans="1:8" x14ac:dyDescent="0.25">
      <c r="A1893" t="s">
        <v>2547</v>
      </c>
      <c r="B1893" s="1">
        <v>45228</v>
      </c>
      <c r="C1893" s="1">
        <v>45242</v>
      </c>
      <c r="D1893" s="1">
        <v>45407</v>
      </c>
      <c r="E1893">
        <v>74114.41</v>
      </c>
      <c r="F1893">
        <f t="shared" si="88"/>
        <v>2023</v>
      </c>
      <c r="G1893">
        <f t="shared" si="89"/>
        <v>2024</v>
      </c>
      <c r="H1893">
        <f t="shared" si="87"/>
        <v>1</v>
      </c>
    </row>
    <row r="1894" spans="1:8" x14ac:dyDescent="0.25">
      <c r="A1894" t="s">
        <v>2393</v>
      </c>
      <c r="B1894" s="1">
        <v>44356</v>
      </c>
      <c r="C1894" s="1">
        <v>44431</v>
      </c>
      <c r="D1894" s="1">
        <v>44461</v>
      </c>
      <c r="E1894">
        <v>56582.41</v>
      </c>
      <c r="F1894">
        <f t="shared" si="88"/>
        <v>2021</v>
      </c>
      <c r="G1894">
        <f t="shared" si="89"/>
        <v>2021</v>
      </c>
      <c r="H1894">
        <f t="shared" si="87"/>
        <v>0</v>
      </c>
    </row>
    <row r="1895" spans="1:8" x14ac:dyDescent="0.25">
      <c r="A1895" t="s">
        <v>2358</v>
      </c>
      <c r="B1895" s="1">
        <v>44768</v>
      </c>
      <c r="D1895" s="1">
        <v>44980</v>
      </c>
      <c r="E1895">
        <v>-21975.35</v>
      </c>
      <c r="F1895">
        <f t="shared" si="88"/>
        <v>2022</v>
      </c>
      <c r="G1895">
        <f t="shared" si="89"/>
        <v>2023</v>
      </c>
      <c r="H1895">
        <f t="shared" si="87"/>
        <v>1</v>
      </c>
    </row>
    <row r="1896" spans="1:8" x14ac:dyDescent="0.25">
      <c r="A1896" t="s">
        <v>2560</v>
      </c>
      <c r="B1896" s="1">
        <v>44992</v>
      </c>
      <c r="C1896" s="1">
        <v>45065</v>
      </c>
      <c r="D1896" s="1">
        <v>45149</v>
      </c>
      <c r="E1896">
        <v>7595.25</v>
      </c>
      <c r="F1896">
        <f t="shared" si="88"/>
        <v>2023</v>
      </c>
      <c r="G1896">
        <f t="shared" si="89"/>
        <v>2023</v>
      </c>
      <c r="H1896">
        <f t="shared" si="87"/>
        <v>0</v>
      </c>
    </row>
    <row r="1897" spans="1:8" x14ac:dyDescent="0.25">
      <c r="A1897" t="s">
        <v>2665</v>
      </c>
      <c r="B1897" s="1">
        <v>44606</v>
      </c>
      <c r="C1897" s="1">
        <v>44636</v>
      </c>
      <c r="D1897" s="1">
        <v>44780</v>
      </c>
      <c r="E1897">
        <v>-23060.95</v>
      </c>
      <c r="F1897">
        <f t="shared" si="88"/>
        <v>2022</v>
      </c>
      <c r="G1897">
        <f t="shared" si="89"/>
        <v>2022</v>
      </c>
      <c r="H1897">
        <f t="shared" si="87"/>
        <v>0</v>
      </c>
    </row>
    <row r="1898" spans="1:8" x14ac:dyDescent="0.25">
      <c r="A1898" t="s">
        <v>2689</v>
      </c>
      <c r="B1898" s="1">
        <v>44448</v>
      </c>
      <c r="C1898" s="1">
        <v>44480</v>
      </c>
      <c r="D1898" s="1">
        <v>44585</v>
      </c>
      <c r="E1898">
        <v>17074.87</v>
      </c>
      <c r="F1898">
        <f t="shared" si="88"/>
        <v>2021</v>
      </c>
      <c r="G1898">
        <f t="shared" si="89"/>
        <v>2022</v>
      </c>
      <c r="H1898">
        <f t="shared" si="87"/>
        <v>1</v>
      </c>
    </row>
    <row r="1899" spans="1:8" x14ac:dyDescent="0.25">
      <c r="A1899" t="s">
        <v>2898</v>
      </c>
      <c r="B1899" s="1">
        <v>44574</v>
      </c>
      <c r="C1899" s="1">
        <v>44589</v>
      </c>
      <c r="D1899" s="1">
        <v>44693</v>
      </c>
      <c r="E1899">
        <v>-1988.41</v>
      </c>
      <c r="F1899">
        <f t="shared" si="88"/>
        <v>2022</v>
      </c>
      <c r="G1899">
        <f t="shared" si="89"/>
        <v>2022</v>
      </c>
      <c r="H1899">
        <f t="shared" si="87"/>
        <v>0</v>
      </c>
    </row>
    <row r="1900" spans="1:8" x14ac:dyDescent="0.25">
      <c r="A1900" t="s">
        <v>2899</v>
      </c>
      <c r="B1900" s="1">
        <v>45525</v>
      </c>
      <c r="C1900" s="1">
        <v>45549</v>
      </c>
      <c r="D1900" s="1">
        <v>45743</v>
      </c>
      <c r="E1900">
        <v>79550.12</v>
      </c>
      <c r="F1900">
        <f t="shared" si="88"/>
        <v>2024</v>
      </c>
      <c r="G1900">
        <f t="shared" si="89"/>
        <v>2025</v>
      </c>
      <c r="H1900">
        <f t="shared" si="87"/>
        <v>1</v>
      </c>
    </row>
    <row r="1901" spans="1:8" x14ac:dyDescent="0.25">
      <c r="A1901" t="s">
        <v>2381</v>
      </c>
      <c r="B1901" s="1">
        <v>45329</v>
      </c>
      <c r="C1901" s="1">
        <v>45335</v>
      </c>
      <c r="D1901" s="1">
        <v>45556</v>
      </c>
      <c r="E1901">
        <v>83780.649999999994</v>
      </c>
      <c r="F1901">
        <f t="shared" si="88"/>
        <v>2024</v>
      </c>
      <c r="G1901">
        <f t="shared" si="89"/>
        <v>2024</v>
      </c>
      <c r="H1901">
        <f t="shared" si="87"/>
        <v>0</v>
      </c>
    </row>
    <row r="1902" spans="1:8" x14ac:dyDescent="0.25">
      <c r="A1902" t="s">
        <v>2900</v>
      </c>
      <c r="B1902" s="1">
        <v>44906</v>
      </c>
      <c r="C1902" s="1">
        <v>44962</v>
      </c>
      <c r="D1902" s="1">
        <v>45116</v>
      </c>
      <c r="E1902">
        <v>51443.41</v>
      </c>
      <c r="F1902">
        <f t="shared" si="88"/>
        <v>2022</v>
      </c>
      <c r="G1902">
        <f t="shared" si="89"/>
        <v>2023</v>
      </c>
      <c r="H1902">
        <f t="shared" si="87"/>
        <v>1</v>
      </c>
    </row>
    <row r="1903" spans="1:8" x14ac:dyDescent="0.25">
      <c r="A1903" t="s">
        <v>2879</v>
      </c>
      <c r="B1903" s="1">
        <v>43973</v>
      </c>
      <c r="C1903" s="1">
        <v>43975</v>
      </c>
      <c r="D1903" s="1">
        <v>44151</v>
      </c>
      <c r="E1903">
        <v>8999.2999999999993</v>
      </c>
      <c r="F1903">
        <f t="shared" si="88"/>
        <v>2020</v>
      </c>
      <c r="G1903">
        <f t="shared" si="89"/>
        <v>2020</v>
      </c>
      <c r="H1903">
        <f t="shared" si="87"/>
        <v>0</v>
      </c>
    </row>
    <row r="1904" spans="1:8" x14ac:dyDescent="0.25">
      <c r="A1904" t="s">
        <v>2604</v>
      </c>
      <c r="B1904" s="1">
        <v>45247</v>
      </c>
      <c r="C1904" s="1">
        <v>45263</v>
      </c>
      <c r="D1904" s="1">
        <v>45424</v>
      </c>
      <c r="E1904">
        <v>74687.11</v>
      </c>
      <c r="F1904">
        <f t="shared" si="88"/>
        <v>2023</v>
      </c>
      <c r="G1904">
        <f t="shared" si="89"/>
        <v>2024</v>
      </c>
      <c r="H1904">
        <f t="shared" si="87"/>
        <v>1</v>
      </c>
    </row>
    <row r="1905" spans="1:8" x14ac:dyDescent="0.25">
      <c r="A1905" t="s">
        <v>2413</v>
      </c>
      <c r="B1905" s="1">
        <v>44936</v>
      </c>
      <c r="C1905" s="1">
        <v>44968</v>
      </c>
      <c r="D1905" s="1">
        <v>45245</v>
      </c>
      <c r="E1905">
        <v>60421.42</v>
      </c>
      <c r="F1905">
        <f t="shared" si="88"/>
        <v>2023</v>
      </c>
      <c r="G1905">
        <f t="shared" si="89"/>
        <v>2023</v>
      </c>
      <c r="H1905">
        <f t="shared" si="87"/>
        <v>0</v>
      </c>
    </row>
    <row r="1906" spans="1:8" x14ac:dyDescent="0.25">
      <c r="A1906" t="s">
        <v>2282</v>
      </c>
      <c r="B1906" s="1">
        <v>44418</v>
      </c>
      <c r="C1906" s="1">
        <v>44459</v>
      </c>
      <c r="D1906" s="1">
        <v>44862</v>
      </c>
      <c r="E1906">
        <v>13761.23</v>
      </c>
      <c r="F1906">
        <f t="shared" si="88"/>
        <v>2021</v>
      </c>
      <c r="G1906">
        <f t="shared" si="89"/>
        <v>2022</v>
      </c>
      <c r="H1906">
        <f t="shared" si="87"/>
        <v>1</v>
      </c>
    </row>
    <row r="1907" spans="1:8" x14ac:dyDescent="0.25">
      <c r="A1907" t="s">
        <v>2503</v>
      </c>
      <c r="B1907" s="1">
        <v>45424</v>
      </c>
      <c r="D1907" s="1">
        <v>45671</v>
      </c>
      <c r="E1907">
        <v>61427.45</v>
      </c>
      <c r="F1907">
        <f t="shared" si="88"/>
        <v>2024</v>
      </c>
      <c r="G1907">
        <f t="shared" si="89"/>
        <v>2025</v>
      </c>
      <c r="H1907">
        <f t="shared" si="87"/>
        <v>1</v>
      </c>
    </row>
    <row r="1908" spans="1:8" x14ac:dyDescent="0.25">
      <c r="A1908" t="s">
        <v>2591</v>
      </c>
      <c r="B1908" s="1">
        <v>44372</v>
      </c>
      <c r="C1908" s="1">
        <v>44408</v>
      </c>
      <c r="D1908" s="1">
        <v>44618</v>
      </c>
      <c r="E1908">
        <v>8018.87</v>
      </c>
      <c r="F1908">
        <f t="shared" si="88"/>
        <v>2021</v>
      </c>
      <c r="G1908">
        <f t="shared" si="89"/>
        <v>2022</v>
      </c>
      <c r="H1908">
        <f t="shared" si="87"/>
        <v>1</v>
      </c>
    </row>
    <row r="1909" spans="1:8" x14ac:dyDescent="0.25">
      <c r="A1909" t="s">
        <v>2151</v>
      </c>
      <c r="B1909" s="1">
        <v>44231</v>
      </c>
      <c r="C1909" s="1">
        <v>44263</v>
      </c>
      <c r="D1909" s="1">
        <v>44423</v>
      </c>
      <c r="E1909">
        <v>13207.97</v>
      </c>
      <c r="F1909">
        <f t="shared" si="88"/>
        <v>2021</v>
      </c>
      <c r="G1909">
        <f t="shared" si="89"/>
        <v>2021</v>
      </c>
      <c r="H1909">
        <f t="shared" si="87"/>
        <v>0</v>
      </c>
    </row>
    <row r="1910" spans="1:8" x14ac:dyDescent="0.25">
      <c r="A1910" t="s">
        <v>2481</v>
      </c>
      <c r="B1910" s="1">
        <v>43839</v>
      </c>
      <c r="C1910" s="1">
        <v>43850</v>
      </c>
      <c r="D1910" s="1">
        <v>44139</v>
      </c>
      <c r="E1910">
        <v>-8744.89</v>
      </c>
      <c r="F1910">
        <f t="shared" si="88"/>
        <v>2020</v>
      </c>
      <c r="G1910">
        <f t="shared" si="89"/>
        <v>2020</v>
      </c>
      <c r="H1910">
        <f t="shared" si="87"/>
        <v>0</v>
      </c>
    </row>
    <row r="1911" spans="1:8" x14ac:dyDescent="0.25">
      <c r="A1911" t="s">
        <v>2316</v>
      </c>
      <c r="B1911" s="1">
        <v>43976</v>
      </c>
      <c r="D1911" s="1">
        <v>44296</v>
      </c>
      <c r="E1911">
        <v>-21269.49</v>
      </c>
      <c r="F1911">
        <f t="shared" si="88"/>
        <v>2020</v>
      </c>
      <c r="G1911">
        <f t="shared" si="89"/>
        <v>2021</v>
      </c>
      <c r="H1911">
        <f t="shared" si="87"/>
        <v>1</v>
      </c>
    </row>
    <row r="1912" spans="1:8" x14ac:dyDescent="0.25">
      <c r="A1912" t="s">
        <v>2682</v>
      </c>
      <c r="B1912" s="1">
        <v>44305</v>
      </c>
      <c r="C1912" s="1">
        <v>44336</v>
      </c>
      <c r="D1912" s="1">
        <v>44492</v>
      </c>
      <c r="E1912">
        <v>-17609.400000000001</v>
      </c>
      <c r="F1912">
        <f t="shared" si="88"/>
        <v>2021</v>
      </c>
      <c r="G1912">
        <f t="shared" si="89"/>
        <v>2021</v>
      </c>
      <c r="H1912">
        <f t="shared" si="87"/>
        <v>0</v>
      </c>
    </row>
    <row r="1913" spans="1:8" x14ac:dyDescent="0.25">
      <c r="A1913" t="s">
        <v>2699</v>
      </c>
      <c r="B1913" s="1">
        <v>43836</v>
      </c>
      <c r="C1913" s="1">
        <v>43895</v>
      </c>
      <c r="D1913" s="1">
        <v>44275</v>
      </c>
      <c r="E1913">
        <v>64640.27</v>
      </c>
      <c r="F1913">
        <f t="shared" si="88"/>
        <v>2020</v>
      </c>
      <c r="G1913">
        <f t="shared" si="89"/>
        <v>2021</v>
      </c>
      <c r="H1913">
        <f t="shared" si="87"/>
        <v>1</v>
      </c>
    </row>
    <row r="1914" spans="1:8" x14ac:dyDescent="0.25">
      <c r="A1914" t="s">
        <v>2503</v>
      </c>
      <c r="B1914" s="1">
        <v>45424</v>
      </c>
      <c r="D1914" s="1">
        <v>45442</v>
      </c>
      <c r="E1914">
        <v>76333.22</v>
      </c>
      <c r="F1914">
        <f t="shared" si="88"/>
        <v>2024</v>
      </c>
      <c r="G1914">
        <f t="shared" si="89"/>
        <v>2024</v>
      </c>
      <c r="H1914">
        <f t="shared" si="87"/>
        <v>0</v>
      </c>
    </row>
    <row r="1915" spans="1:8" x14ac:dyDescent="0.25">
      <c r="A1915" t="s">
        <v>2232</v>
      </c>
      <c r="B1915" s="1">
        <v>45197</v>
      </c>
      <c r="C1915" s="1">
        <v>45270</v>
      </c>
      <c r="D1915" s="1">
        <v>45510</v>
      </c>
      <c r="E1915">
        <v>76929.55</v>
      </c>
      <c r="F1915">
        <f t="shared" si="88"/>
        <v>2023</v>
      </c>
      <c r="G1915">
        <f t="shared" si="89"/>
        <v>2024</v>
      </c>
      <c r="H1915">
        <f t="shared" si="87"/>
        <v>1</v>
      </c>
    </row>
    <row r="1916" spans="1:8" x14ac:dyDescent="0.25">
      <c r="A1916" t="s">
        <v>2366</v>
      </c>
      <c r="B1916" s="1">
        <v>44164</v>
      </c>
      <c r="C1916" s="1">
        <v>44248</v>
      </c>
      <c r="D1916" s="1">
        <v>44605</v>
      </c>
      <c r="E1916">
        <v>-10949.7</v>
      </c>
      <c r="F1916">
        <f t="shared" si="88"/>
        <v>2020</v>
      </c>
      <c r="G1916">
        <f t="shared" si="89"/>
        <v>2022</v>
      </c>
      <c r="H1916">
        <f t="shared" si="87"/>
        <v>2</v>
      </c>
    </row>
    <row r="1917" spans="1:8" x14ac:dyDescent="0.25">
      <c r="A1917" t="s">
        <v>2901</v>
      </c>
      <c r="B1917" s="1">
        <v>44713</v>
      </c>
      <c r="C1917" s="1">
        <v>44786</v>
      </c>
      <c r="D1917" s="1">
        <v>44874</v>
      </c>
      <c r="E1917">
        <v>84229.57</v>
      </c>
      <c r="F1917">
        <f t="shared" si="88"/>
        <v>2022</v>
      </c>
      <c r="G1917">
        <f t="shared" si="89"/>
        <v>2022</v>
      </c>
      <c r="H1917">
        <f t="shared" si="87"/>
        <v>0</v>
      </c>
    </row>
    <row r="1918" spans="1:8" x14ac:dyDescent="0.25">
      <c r="A1918" t="s">
        <v>2724</v>
      </c>
      <c r="B1918" s="1">
        <v>44265</v>
      </c>
      <c r="C1918" s="1">
        <v>44342</v>
      </c>
      <c r="D1918" s="1">
        <v>44524</v>
      </c>
      <c r="E1918">
        <v>30422.77</v>
      </c>
      <c r="F1918">
        <f t="shared" si="88"/>
        <v>2021</v>
      </c>
      <c r="G1918">
        <f t="shared" si="89"/>
        <v>2021</v>
      </c>
      <c r="H1918">
        <f t="shared" si="87"/>
        <v>0</v>
      </c>
    </row>
    <row r="1919" spans="1:8" x14ac:dyDescent="0.25">
      <c r="A1919" t="s">
        <v>2686</v>
      </c>
      <c r="B1919" s="1">
        <v>45238</v>
      </c>
      <c r="C1919" s="1">
        <v>45239</v>
      </c>
      <c r="D1919" s="1">
        <v>45326</v>
      </c>
      <c r="E1919">
        <v>21900.03</v>
      </c>
      <c r="F1919">
        <f t="shared" si="88"/>
        <v>2023</v>
      </c>
      <c r="G1919">
        <f t="shared" si="89"/>
        <v>2024</v>
      </c>
      <c r="H1919">
        <f t="shared" si="87"/>
        <v>1</v>
      </c>
    </row>
    <row r="1920" spans="1:8" x14ac:dyDescent="0.25">
      <c r="A1920" t="s">
        <v>2902</v>
      </c>
      <c r="B1920" s="1">
        <v>45140</v>
      </c>
      <c r="C1920" s="1">
        <v>45142</v>
      </c>
      <c r="D1920" s="1">
        <v>45175</v>
      </c>
      <c r="E1920">
        <v>60137.71</v>
      </c>
      <c r="F1920">
        <f t="shared" si="88"/>
        <v>2023</v>
      </c>
      <c r="G1920">
        <f t="shared" si="89"/>
        <v>2023</v>
      </c>
      <c r="H1920">
        <f t="shared" si="87"/>
        <v>0</v>
      </c>
    </row>
    <row r="1921" spans="1:8" x14ac:dyDescent="0.25">
      <c r="A1921" t="s">
        <v>2891</v>
      </c>
      <c r="B1921" s="1">
        <v>45243</v>
      </c>
      <c r="C1921" s="1">
        <v>45257</v>
      </c>
      <c r="D1921" s="1">
        <v>45400</v>
      </c>
      <c r="E1921">
        <v>71683.460000000006</v>
      </c>
      <c r="F1921">
        <f t="shared" si="88"/>
        <v>2023</v>
      </c>
      <c r="G1921">
        <f t="shared" si="89"/>
        <v>2024</v>
      </c>
      <c r="H1921">
        <f t="shared" si="87"/>
        <v>1</v>
      </c>
    </row>
    <row r="1922" spans="1:8" x14ac:dyDescent="0.25">
      <c r="A1922" t="s">
        <v>2441</v>
      </c>
      <c r="B1922" s="1">
        <v>45211</v>
      </c>
      <c r="C1922" s="1">
        <v>45291</v>
      </c>
      <c r="D1922" s="1">
        <v>45572</v>
      </c>
      <c r="E1922">
        <v>56680.19</v>
      </c>
      <c r="F1922">
        <f t="shared" si="88"/>
        <v>2023</v>
      </c>
      <c r="G1922">
        <f t="shared" si="89"/>
        <v>2024</v>
      </c>
      <c r="H1922">
        <f t="shared" ref="H1922:H1985" si="90">MAX(0,G1922-F1922)</f>
        <v>1</v>
      </c>
    </row>
    <row r="1923" spans="1:8" x14ac:dyDescent="0.25">
      <c r="A1923" t="s">
        <v>2547</v>
      </c>
      <c r="B1923" s="1">
        <v>45228</v>
      </c>
      <c r="C1923" s="1">
        <v>45242</v>
      </c>
      <c r="D1923" s="1">
        <v>45555</v>
      </c>
      <c r="E1923">
        <v>6844.23</v>
      </c>
      <c r="F1923">
        <f t="shared" ref="F1923:F1986" si="91">YEAR(B1923)</f>
        <v>2023</v>
      </c>
      <c r="G1923">
        <f t="shared" ref="G1923:G1986" si="92">YEAR(D1923)</f>
        <v>2024</v>
      </c>
      <c r="H1923">
        <f t="shared" si="90"/>
        <v>1</v>
      </c>
    </row>
    <row r="1924" spans="1:8" x14ac:dyDescent="0.25">
      <c r="A1924" t="s">
        <v>2484</v>
      </c>
      <c r="B1924" s="1">
        <v>45290</v>
      </c>
      <c r="C1924" s="1">
        <v>45310</v>
      </c>
      <c r="D1924" s="1">
        <v>45375</v>
      </c>
      <c r="E1924">
        <v>10917.52</v>
      </c>
      <c r="F1924">
        <f t="shared" si="91"/>
        <v>2023</v>
      </c>
      <c r="G1924">
        <f t="shared" si="92"/>
        <v>2024</v>
      </c>
      <c r="H1924">
        <f t="shared" si="90"/>
        <v>1</v>
      </c>
    </row>
    <row r="1925" spans="1:8" x14ac:dyDescent="0.25">
      <c r="A1925" t="s">
        <v>2903</v>
      </c>
      <c r="B1925" s="1">
        <v>44600</v>
      </c>
      <c r="C1925" s="1">
        <v>44681</v>
      </c>
      <c r="D1925" s="1">
        <v>44731</v>
      </c>
      <c r="E1925">
        <v>14177.48</v>
      </c>
      <c r="F1925">
        <f t="shared" si="91"/>
        <v>2022</v>
      </c>
      <c r="G1925">
        <f t="shared" si="92"/>
        <v>2022</v>
      </c>
      <c r="H1925">
        <f t="shared" si="90"/>
        <v>0</v>
      </c>
    </row>
    <row r="1926" spans="1:8" x14ac:dyDescent="0.25">
      <c r="A1926" t="s">
        <v>2904</v>
      </c>
      <c r="B1926" s="1">
        <v>45370</v>
      </c>
      <c r="C1926" s="1">
        <v>45391</v>
      </c>
      <c r="D1926" s="1">
        <v>45508</v>
      </c>
      <c r="E1926">
        <v>32567.56</v>
      </c>
      <c r="F1926">
        <f t="shared" si="91"/>
        <v>2024</v>
      </c>
      <c r="G1926">
        <f t="shared" si="92"/>
        <v>2024</v>
      </c>
      <c r="H1926">
        <f t="shared" si="90"/>
        <v>0</v>
      </c>
    </row>
    <row r="1927" spans="1:8" x14ac:dyDescent="0.25">
      <c r="A1927" t="s">
        <v>2352</v>
      </c>
      <c r="B1927" s="1">
        <v>45135</v>
      </c>
      <c r="C1927" s="1">
        <v>45148</v>
      </c>
      <c r="D1927" s="1">
        <v>45286</v>
      </c>
      <c r="E1927">
        <v>2273.0700000000002</v>
      </c>
      <c r="F1927">
        <f t="shared" si="91"/>
        <v>2023</v>
      </c>
      <c r="G1927">
        <f t="shared" si="92"/>
        <v>2023</v>
      </c>
      <c r="H1927">
        <f t="shared" si="90"/>
        <v>0</v>
      </c>
    </row>
    <row r="1928" spans="1:8" x14ac:dyDescent="0.25">
      <c r="A1928" t="s">
        <v>2794</v>
      </c>
      <c r="B1928" s="1">
        <v>44623</v>
      </c>
      <c r="C1928" s="1">
        <v>44688</v>
      </c>
      <c r="D1928" s="1">
        <v>44911</v>
      </c>
      <c r="E1928">
        <v>25560.16</v>
      </c>
      <c r="F1928">
        <f t="shared" si="91"/>
        <v>2022</v>
      </c>
      <c r="G1928">
        <f t="shared" si="92"/>
        <v>2022</v>
      </c>
      <c r="H1928">
        <f t="shared" si="90"/>
        <v>0</v>
      </c>
    </row>
    <row r="1929" spans="1:8" x14ac:dyDescent="0.25">
      <c r="A1929" t="s">
        <v>2264</v>
      </c>
      <c r="B1929" s="1">
        <v>44792</v>
      </c>
      <c r="C1929" s="1">
        <v>44812</v>
      </c>
      <c r="D1929" s="1">
        <v>44981</v>
      </c>
      <c r="E1929">
        <v>51795.42</v>
      </c>
      <c r="F1929">
        <f t="shared" si="91"/>
        <v>2022</v>
      </c>
      <c r="G1929">
        <f t="shared" si="92"/>
        <v>2023</v>
      </c>
      <c r="H1929">
        <f t="shared" si="90"/>
        <v>1</v>
      </c>
    </row>
    <row r="1930" spans="1:8" x14ac:dyDescent="0.25">
      <c r="A1930" t="s">
        <v>2354</v>
      </c>
      <c r="B1930" s="1">
        <v>44880</v>
      </c>
      <c r="C1930" s="1">
        <v>44929</v>
      </c>
      <c r="D1930" s="1">
        <v>45279</v>
      </c>
      <c r="E1930">
        <v>36483.879999999997</v>
      </c>
      <c r="F1930">
        <f t="shared" si="91"/>
        <v>2022</v>
      </c>
      <c r="G1930">
        <f t="shared" si="92"/>
        <v>2023</v>
      </c>
      <c r="H1930">
        <f t="shared" si="90"/>
        <v>1</v>
      </c>
    </row>
    <row r="1931" spans="1:8" x14ac:dyDescent="0.25">
      <c r="A1931" t="s">
        <v>2789</v>
      </c>
      <c r="B1931" s="1">
        <v>44632</v>
      </c>
      <c r="C1931" s="1">
        <v>44650</v>
      </c>
      <c r="D1931" s="1">
        <v>44891</v>
      </c>
      <c r="E1931">
        <v>46396.3</v>
      </c>
      <c r="F1931">
        <f t="shared" si="91"/>
        <v>2022</v>
      </c>
      <c r="G1931">
        <f t="shared" si="92"/>
        <v>2022</v>
      </c>
      <c r="H1931">
        <f t="shared" si="90"/>
        <v>0</v>
      </c>
    </row>
    <row r="1932" spans="1:8" x14ac:dyDescent="0.25">
      <c r="A1932" t="s">
        <v>2896</v>
      </c>
      <c r="B1932" s="1">
        <v>44750</v>
      </c>
      <c r="C1932" s="1">
        <v>44777</v>
      </c>
      <c r="D1932" s="1">
        <v>45024</v>
      </c>
      <c r="E1932">
        <v>61615.53</v>
      </c>
      <c r="F1932">
        <f t="shared" si="91"/>
        <v>2022</v>
      </c>
      <c r="G1932">
        <f t="shared" si="92"/>
        <v>2023</v>
      </c>
      <c r="H1932">
        <f t="shared" si="90"/>
        <v>1</v>
      </c>
    </row>
    <row r="1933" spans="1:8" x14ac:dyDescent="0.25">
      <c r="A1933" t="s">
        <v>2815</v>
      </c>
      <c r="B1933" s="1">
        <v>44142</v>
      </c>
      <c r="C1933" s="1">
        <v>44165</v>
      </c>
      <c r="D1933" s="1">
        <v>44352</v>
      </c>
      <c r="E1933">
        <v>12895.5</v>
      </c>
      <c r="F1933">
        <f t="shared" si="91"/>
        <v>2020</v>
      </c>
      <c r="G1933">
        <f t="shared" si="92"/>
        <v>2021</v>
      </c>
      <c r="H1933">
        <f t="shared" si="90"/>
        <v>1</v>
      </c>
    </row>
    <row r="1934" spans="1:8" x14ac:dyDescent="0.25">
      <c r="A1934" t="s">
        <v>2354</v>
      </c>
      <c r="B1934" s="1">
        <v>44880</v>
      </c>
      <c r="C1934" s="1">
        <v>44929</v>
      </c>
      <c r="D1934" s="1">
        <v>45197</v>
      </c>
      <c r="E1934">
        <v>4338.4799999999996</v>
      </c>
      <c r="F1934">
        <f t="shared" si="91"/>
        <v>2022</v>
      </c>
      <c r="G1934">
        <f t="shared" si="92"/>
        <v>2023</v>
      </c>
      <c r="H1934">
        <f t="shared" si="90"/>
        <v>1</v>
      </c>
    </row>
    <row r="1935" spans="1:8" x14ac:dyDescent="0.25">
      <c r="A1935" t="s">
        <v>2871</v>
      </c>
      <c r="B1935" s="1">
        <v>45127</v>
      </c>
      <c r="C1935" s="1">
        <v>45214</v>
      </c>
      <c r="D1935" s="1">
        <v>45476</v>
      </c>
      <c r="E1935">
        <v>50445.85</v>
      </c>
      <c r="F1935">
        <f t="shared" si="91"/>
        <v>2023</v>
      </c>
      <c r="G1935">
        <f t="shared" si="92"/>
        <v>2024</v>
      </c>
      <c r="H1935">
        <f t="shared" si="90"/>
        <v>1</v>
      </c>
    </row>
    <row r="1936" spans="1:8" x14ac:dyDescent="0.25">
      <c r="A1936" t="s">
        <v>2205</v>
      </c>
      <c r="B1936" s="1">
        <v>44017</v>
      </c>
      <c r="C1936" s="1">
        <v>44058</v>
      </c>
      <c r="D1936" s="1">
        <v>44169</v>
      </c>
      <c r="E1936">
        <v>5371</v>
      </c>
      <c r="F1936">
        <f t="shared" si="91"/>
        <v>2020</v>
      </c>
      <c r="G1936">
        <f t="shared" si="92"/>
        <v>2020</v>
      </c>
      <c r="H1936">
        <f t="shared" si="90"/>
        <v>0</v>
      </c>
    </row>
    <row r="1937" spans="1:8" x14ac:dyDescent="0.25">
      <c r="A1937" t="s">
        <v>2150</v>
      </c>
      <c r="B1937" s="1">
        <v>44997</v>
      </c>
      <c r="C1937" s="1">
        <v>45012</v>
      </c>
      <c r="D1937" s="1">
        <v>45485</v>
      </c>
      <c r="E1937">
        <v>12035.91</v>
      </c>
      <c r="F1937">
        <f t="shared" si="91"/>
        <v>2023</v>
      </c>
      <c r="G1937">
        <f t="shared" si="92"/>
        <v>2024</v>
      </c>
      <c r="H1937">
        <f t="shared" si="90"/>
        <v>1</v>
      </c>
    </row>
    <row r="1938" spans="1:8" x14ac:dyDescent="0.25">
      <c r="A1938" t="s">
        <v>2784</v>
      </c>
      <c r="B1938" s="1">
        <v>45140</v>
      </c>
      <c r="C1938" s="1">
        <v>45185</v>
      </c>
      <c r="D1938" s="1">
        <v>45494</v>
      </c>
      <c r="E1938">
        <v>60834.43</v>
      </c>
      <c r="F1938">
        <f t="shared" si="91"/>
        <v>2023</v>
      </c>
      <c r="G1938">
        <f t="shared" si="92"/>
        <v>2024</v>
      </c>
      <c r="H1938">
        <f t="shared" si="90"/>
        <v>1</v>
      </c>
    </row>
    <row r="1939" spans="1:8" x14ac:dyDescent="0.25">
      <c r="A1939" t="s">
        <v>2776</v>
      </c>
      <c r="B1939" s="1">
        <v>44064</v>
      </c>
      <c r="C1939" s="1">
        <v>44115</v>
      </c>
      <c r="D1939" s="1">
        <v>44185</v>
      </c>
      <c r="E1939">
        <v>12201.99</v>
      </c>
      <c r="F1939">
        <f t="shared" si="91"/>
        <v>2020</v>
      </c>
      <c r="G1939">
        <f t="shared" si="92"/>
        <v>2020</v>
      </c>
      <c r="H1939">
        <f t="shared" si="90"/>
        <v>0</v>
      </c>
    </row>
    <row r="1940" spans="1:8" x14ac:dyDescent="0.25">
      <c r="A1940" t="s">
        <v>2618</v>
      </c>
      <c r="B1940" s="1">
        <v>44564</v>
      </c>
      <c r="C1940" s="1">
        <v>44616</v>
      </c>
      <c r="D1940" s="1">
        <v>44801</v>
      </c>
      <c r="E1940">
        <v>60666.13</v>
      </c>
      <c r="F1940">
        <f t="shared" si="91"/>
        <v>2022</v>
      </c>
      <c r="G1940">
        <f t="shared" si="92"/>
        <v>2022</v>
      </c>
      <c r="H1940">
        <f t="shared" si="90"/>
        <v>0</v>
      </c>
    </row>
    <row r="1941" spans="1:8" x14ac:dyDescent="0.25">
      <c r="A1941" t="s">
        <v>2722</v>
      </c>
      <c r="B1941" s="1">
        <v>43870</v>
      </c>
      <c r="C1941" s="1">
        <v>43884</v>
      </c>
      <c r="D1941" s="1">
        <v>44132</v>
      </c>
      <c r="E1941">
        <v>74825.58</v>
      </c>
      <c r="F1941">
        <f t="shared" si="91"/>
        <v>2020</v>
      </c>
      <c r="G1941">
        <f t="shared" si="92"/>
        <v>2020</v>
      </c>
      <c r="H1941">
        <f t="shared" si="90"/>
        <v>0</v>
      </c>
    </row>
    <row r="1942" spans="1:8" x14ac:dyDescent="0.25">
      <c r="A1942" t="s">
        <v>2621</v>
      </c>
      <c r="B1942" s="1">
        <v>44981</v>
      </c>
      <c r="C1942" s="1">
        <v>45067</v>
      </c>
      <c r="D1942" s="1">
        <v>45442</v>
      </c>
      <c r="E1942">
        <v>-14047.33</v>
      </c>
      <c r="F1942">
        <f t="shared" si="91"/>
        <v>2023</v>
      </c>
      <c r="G1942">
        <f t="shared" si="92"/>
        <v>2024</v>
      </c>
      <c r="H1942">
        <f t="shared" si="90"/>
        <v>1</v>
      </c>
    </row>
    <row r="1943" spans="1:8" x14ac:dyDescent="0.25">
      <c r="A1943" t="s">
        <v>2851</v>
      </c>
      <c r="B1943" s="1">
        <v>45206</v>
      </c>
      <c r="C1943" s="1">
        <v>45287</v>
      </c>
      <c r="D1943" s="1">
        <v>45383</v>
      </c>
      <c r="E1943">
        <v>76638.59</v>
      </c>
      <c r="F1943">
        <f t="shared" si="91"/>
        <v>2023</v>
      </c>
      <c r="G1943">
        <f t="shared" si="92"/>
        <v>2024</v>
      </c>
      <c r="H1943">
        <f t="shared" si="90"/>
        <v>1</v>
      </c>
    </row>
    <row r="1944" spans="1:8" x14ac:dyDescent="0.25">
      <c r="A1944" t="s">
        <v>2455</v>
      </c>
      <c r="B1944" s="1">
        <v>45348</v>
      </c>
      <c r="C1944" s="1">
        <v>45381</v>
      </c>
      <c r="D1944" s="1">
        <v>45742</v>
      </c>
      <c r="E1944">
        <v>-14216.9</v>
      </c>
      <c r="F1944">
        <f t="shared" si="91"/>
        <v>2024</v>
      </c>
      <c r="G1944">
        <f t="shared" si="92"/>
        <v>2025</v>
      </c>
      <c r="H1944">
        <f t="shared" si="90"/>
        <v>1</v>
      </c>
    </row>
    <row r="1945" spans="1:8" x14ac:dyDescent="0.25">
      <c r="A1945" t="s">
        <v>2188</v>
      </c>
      <c r="B1945" s="1">
        <v>45008</v>
      </c>
      <c r="C1945" s="1">
        <v>45031</v>
      </c>
      <c r="D1945" s="1">
        <v>45246</v>
      </c>
      <c r="E1945">
        <v>20957.37</v>
      </c>
      <c r="F1945">
        <f t="shared" si="91"/>
        <v>2023</v>
      </c>
      <c r="G1945">
        <f t="shared" si="92"/>
        <v>2023</v>
      </c>
      <c r="H1945">
        <f t="shared" si="90"/>
        <v>0</v>
      </c>
    </row>
    <row r="1946" spans="1:8" x14ac:dyDescent="0.25">
      <c r="A1946" t="s">
        <v>2398</v>
      </c>
      <c r="B1946" s="1">
        <v>44296</v>
      </c>
      <c r="C1946" s="1">
        <v>44313</v>
      </c>
      <c r="D1946" s="1">
        <v>44536</v>
      </c>
      <c r="E1946">
        <v>79602.53</v>
      </c>
      <c r="F1946">
        <f t="shared" si="91"/>
        <v>2021</v>
      </c>
      <c r="G1946">
        <f t="shared" si="92"/>
        <v>2021</v>
      </c>
      <c r="H1946">
        <f t="shared" si="90"/>
        <v>0</v>
      </c>
    </row>
    <row r="1947" spans="1:8" x14ac:dyDescent="0.25">
      <c r="A1947" t="s">
        <v>2157</v>
      </c>
      <c r="B1947" s="1">
        <v>43906</v>
      </c>
      <c r="C1947" s="1">
        <v>43907</v>
      </c>
      <c r="D1947" s="1">
        <v>44422</v>
      </c>
      <c r="E1947">
        <v>40131.660000000003</v>
      </c>
      <c r="F1947">
        <f t="shared" si="91"/>
        <v>2020</v>
      </c>
      <c r="G1947">
        <f t="shared" si="92"/>
        <v>2021</v>
      </c>
      <c r="H1947">
        <f t="shared" si="90"/>
        <v>1</v>
      </c>
    </row>
    <row r="1948" spans="1:8" x14ac:dyDescent="0.25">
      <c r="A1948" t="s">
        <v>2593</v>
      </c>
      <c r="B1948" s="1">
        <v>44362</v>
      </c>
      <c r="C1948" s="1">
        <v>44393</v>
      </c>
      <c r="D1948" s="1">
        <v>44433</v>
      </c>
      <c r="E1948">
        <v>38081.86</v>
      </c>
      <c r="F1948">
        <f t="shared" si="91"/>
        <v>2021</v>
      </c>
      <c r="G1948">
        <f t="shared" si="92"/>
        <v>2021</v>
      </c>
      <c r="H1948">
        <f t="shared" si="90"/>
        <v>0</v>
      </c>
    </row>
    <row r="1949" spans="1:8" x14ac:dyDescent="0.25">
      <c r="A1949" t="s">
        <v>2441</v>
      </c>
      <c r="B1949" s="1">
        <v>45211</v>
      </c>
      <c r="C1949" s="1">
        <v>45291</v>
      </c>
      <c r="D1949" s="1">
        <v>45647</v>
      </c>
      <c r="E1949">
        <v>9015.01</v>
      </c>
      <c r="F1949">
        <f t="shared" si="91"/>
        <v>2023</v>
      </c>
      <c r="G1949">
        <f t="shared" si="92"/>
        <v>2024</v>
      </c>
      <c r="H1949">
        <f t="shared" si="90"/>
        <v>1</v>
      </c>
    </row>
    <row r="1950" spans="1:8" x14ac:dyDescent="0.25">
      <c r="A1950" t="s">
        <v>2779</v>
      </c>
      <c r="B1950" s="1">
        <v>44858</v>
      </c>
      <c r="C1950" s="1">
        <v>44897</v>
      </c>
      <c r="D1950" s="1">
        <v>45094</v>
      </c>
      <c r="E1950">
        <v>77395.070000000007</v>
      </c>
      <c r="F1950">
        <f t="shared" si="91"/>
        <v>2022</v>
      </c>
      <c r="G1950">
        <f t="shared" si="92"/>
        <v>2023</v>
      </c>
      <c r="H1950">
        <f t="shared" si="90"/>
        <v>1</v>
      </c>
    </row>
    <row r="1951" spans="1:8" x14ac:dyDescent="0.25">
      <c r="A1951" t="s">
        <v>2309</v>
      </c>
      <c r="B1951" s="1">
        <v>44916</v>
      </c>
      <c r="C1951" s="1">
        <v>44918</v>
      </c>
      <c r="D1951" s="1">
        <v>45584</v>
      </c>
      <c r="E1951">
        <v>6564.81</v>
      </c>
      <c r="F1951">
        <f t="shared" si="91"/>
        <v>2022</v>
      </c>
      <c r="G1951">
        <f t="shared" si="92"/>
        <v>2024</v>
      </c>
      <c r="H1951">
        <f t="shared" si="90"/>
        <v>2</v>
      </c>
    </row>
    <row r="1952" spans="1:8" x14ac:dyDescent="0.25">
      <c r="A1952" t="s">
        <v>2353</v>
      </c>
      <c r="B1952" s="1">
        <v>45201</v>
      </c>
      <c r="D1952" s="1">
        <v>45464</v>
      </c>
      <c r="E1952">
        <v>48863.91</v>
      </c>
      <c r="F1952">
        <f t="shared" si="91"/>
        <v>2023</v>
      </c>
      <c r="G1952">
        <f t="shared" si="92"/>
        <v>2024</v>
      </c>
      <c r="H1952">
        <f t="shared" si="90"/>
        <v>1</v>
      </c>
    </row>
    <row r="1953" spans="1:8" x14ac:dyDescent="0.25">
      <c r="A1953" t="s">
        <v>2869</v>
      </c>
      <c r="B1953" s="1">
        <v>45002</v>
      </c>
      <c r="C1953" s="1">
        <v>45013</v>
      </c>
      <c r="D1953" s="1">
        <v>45071</v>
      </c>
      <c r="E1953">
        <v>75369.899999999994</v>
      </c>
      <c r="F1953">
        <f t="shared" si="91"/>
        <v>2023</v>
      </c>
      <c r="G1953">
        <f t="shared" si="92"/>
        <v>2023</v>
      </c>
      <c r="H1953">
        <f t="shared" si="90"/>
        <v>0</v>
      </c>
    </row>
    <row r="1954" spans="1:8" x14ac:dyDescent="0.25">
      <c r="A1954" t="s">
        <v>2353</v>
      </c>
      <c r="B1954" s="1">
        <v>45201</v>
      </c>
      <c r="D1954" s="1">
        <v>45311</v>
      </c>
      <c r="E1954">
        <v>40351.35</v>
      </c>
      <c r="F1954">
        <f t="shared" si="91"/>
        <v>2023</v>
      </c>
      <c r="G1954">
        <f t="shared" si="92"/>
        <v>2024</v>
      </c>
      <c r="H1954">
        <f t="shared" si="90"/>
        <v>1</v>
      </c>
    </row>
    <row r="1955" spans="1:8" x14ac:dyDescent="0.25">
      <c r="A1955" t="s">
        <v>2471</v>
      </c>
      <c r="B1955" s="1">
        <v>44489</v>
      </c>
      <c r="C1955" s="1">
        <v>44552</v>
      </c>
      <c r="D1955" s="1">
        <v>44579</v>
      </c>
      <c r="E1955">
        <v>16970.439999999999</v>
      </c>
      <c r="F1955">
        <f t="shared" si="91"/>
        <v>2021</v>
      </c>
      <c r="G1955">
        <f t="shared" si="92"/>
        <v>2022</v>
      </c>
      <c r="H1955">
        <f t="shared" si="90"/>
        <v>1</v>
      </c>
    </row>
    <row r="1956" spans="1:8" x14ac:dyDescent="0.25">
      <c r="A1956" t="s">
        <v>2319</v>
      </c>
      <c r="B1956" s="1">
        <v>44934</v>
      </c>
      <c r="C1956" s="1">
        <v>45004</v>
      </c>
      <c r="D1956" s="1">
        <v>45371</v>
      </c>
      <c r="E1956">
        <v>5343.31</v>
      </c>
      <c r="F1956">
        <f t="shared" si="91"/>
        <v>2023</v>
      </c>
      <c r="G1956">
        <f t="shared" si="92"/>
        <v>2024</v>
      </c>
      <c r="H1956">
        <f t="shared" si="90"/>
        <v>1</v>
      </c>
    </row>
    <row r="1957" spans="1:8" x14ac:dyDescent="0.25">
      <c r="A1957" t="s">
        <v>2572</v>
      </c>
      <c r="B1957" s="1">
        <v>45096</v>
      </c>
      <c r="C1957" s="1">
        <v>45120</v>
      </c>
      <c r="D1957" s="1">
        <v>45435</v>
      </c>
      <c r="E1957">
        <v>22128.45</v>
      </c>
      <c r="F1957">
        <f t="shared" si="91"/>
        <v>2023</v>
      </c>
      <c r="G1957">
        <f t="shared" si="92"/>
        <v>2024</v>
      </c>
      <c r="H1957">
        <f t="shared" si="90"/>
        <v>1</v>
      </c>
    </row>
    <row r="1958" spans="1:8" x14ac:dyDescent="0.25">
      <c r="A1958" t="s">
        <v>2655</v>
      </c>
      <c r="B1958" s="1">
        <v>44310</v>
      </c>
      <c r="C1958" s="1">
        <v>44326</v>
      </c>
      <c r="D1958" s="1">
        <v>44418</v>
      </c>
      <c r="E1958">
        <v>65856.89</v>
      </c>
      <c r="F1958">
        <f t="shared" si="91"/>
        <v>2021</v>
      </c>
      <c r="G1958">
        <f t="shared" si="92"/>
        <v>2021</v>
      </c>
      <c r="H1958">
        <f t="shared" si="90"/>
        <v>0</v>
      </c>
    </row>
    <row r="1959" spans="1:8" x14ac:dyDescent="0.25">
      <c r="A1959" t="s">
        <v>2590</v>
      </c>
      <c r="B1959" s="1">
        <v>44472</v>
      </c>
      <c r="C1959" s="1">
        <v>44546</v>
      </c>
      <c r="D1959" s="1">
        <v>44646</v>
      </c>
      <c r="E1959">
        <v>80512.89</v>
      </c>
      <c r="F1959">
        <f t="shared" si="91"/>
        <v>2021</v>
      </c>
      <c r="G1959">
        <f t="shared" si="92"/>
        <v>2022</v>
      </c>
      <c r="H1959">
        <f t="shared" si="90"/>
        <v>1</v>
      </c>
    </row>
    <row r="1960" spans="1:8" x14ac:dyDescent="0.25">
      <c r="A1960" t="s">
        <v>2226</v>
      </c>
      <c r="B1960" s="1">
        <v>44573</v>
      </c>
      <c r="C1960" s="1">
        <v>44603</v>
      </c>
      <c r="D1960" s="1">
        <v>44690</v>
      </c>
      <c r="E1960">
        <v>23015.34</v>
      </c>
      <c r="F1960">
        <f t="shared" si="91"/>
        <v>2022</v>
      </c>
      <c r="G1960">
        <f t="shared" si="92"/>
        <v>2022</v>
      </c>
      <c r="H1960">
        <f t="shared" si="90"/>
        <v>0</v>
      </c>
    </row>
    <row r="1961" spans="1:8" x14ac:dyDescent="0.25">
      <c r="A1961" t="s">
        <v>2681</v>
      </c>
      <c r="B1961" s="1">
        <v>43965</v>
      </c>
      <c r="C1961" s="1">
        <v>44009</v>
      </c>
      <c r="D1961" s="1">
        <v>44409</v>
      </c>
      <c r="E1961">
        <v>45292.95</v>
      </c>
      <c r="F1961">
        <f t="shared" si="91"/>
        <v>2020</v>
      </c>
      <c r="G1961">
        <f t="shared" si="92"/>
        <v>2021</v>
      </c>
      <c r="H1961">
        <f t="shared" si="90"/>
        <v>1</v>
      </c>
    </row>
    <row r="1962" spans="1:8" x14ac:dyDescent="0.25">
      <c r="A1962" t="s">
        <v>2230</v>
      </c>
      <c r="B1962" s="1">
        <v>45213</v>
      </c>
      <c r="C1962" s="1">
        <v>45255</v>
      </c>
      <c r="D1962" s="1">
        <v>45513</v>
      </c>
      <c r="E1962">
        <v>-15224.91</v>
      </c>
      <c r="F1962">
        <f t="shared" si="91"/>
        <v>2023</v>
      </c>
      <c r="G1962">
        <f t="shared" si="92"/>
        <v>2024</v>
      </c>
      <c r="H1962">
        <f t="shared" si="90"/>
        <v>1</v>
      </c>
    </row>
    <row r="1963" spans="1:8" x14ac:dyDescent="0.25">
      <c r="A1963" t="s">
        <v>2553</v>
      </c>
      <c r="B1963" s="1">
        <v>44224</v>
      </c>
      <c r="C1963" s="1">
        <v>44259</v>
      </c>
      <c r="D1963" s="1">
        <v>44638</v>
      </c>
      <c r="E1963">
        <v>46862.19</v>
      </c>
      <c r="F1963">
        <f t="shared" si="91"/>
        <v>2021</v>
      </c>
      <c r="G1963">
        <f t="shared" si="92"/>
        <v>2022</v>
      </c>
      <c r="H1963">
        <f t="shared" si="90"/>
        <v>1</v>
      </c>
    </row>
    <row r="1964" spans="1:8" x14ac:dyDescent="0.25">
      <c r="A1964" t="s">
        <v>2335</v>
      </c>
      <c r="B1964" s="1">
        <v>45099</v>
      </c>
      <c r="C1964" s="1">
        <v>45126</v>
      </c>
      <c r="D1964" s="1">
        <v>45442</v>
      </c>
      <c r="E1964">
        <v>15901.44</v>
      </c>
      <c r="F1964">
        <f t="shared" si="91"/>
        <v>2023</v>
      </c>
      <c r="G1964">
        <f t="shared" si="92"/>
        <v>2024</v>
      </c>
      <c r="H1964">
        <f t="shared" si="90"/>
        <v>1</v>
      </c>
    </row>
    <row r="1965" spans="1:8" x14ac:dyDescent="0.25">
      <c r="A1965" t="s">
        <v>2270</v>
      </c>
      <c r="B1965" s="1">
        <v>43883</v>
      </c>
      <c r="C1965" s="1">
        <v>43902</v>
      </c>
      <c r="D1965" s="1">
        <v>44078</v>
      </c>
      <c r="E1965">
        <v>35573.15</v>
      </c>
      <c r="F1965">
        <f t="shared" si="91"/>
        <v>2020</v>
      </c>
      <c r="G1965">
        <f t="shared" si="92"/>
        <v>2020</v>
      </c>
      <c r="H1965">
        <f t="shared" si="90"/>
        <v>0</v>
      </c>
    </row>
    <row r="1966" spans="1:8" x14ac:dyDescent="0.25">
      <c r="A1966" t="s">
        <v>2728</v>
      </c>
      <c r="B1966" s="1">
        <v>44534</v>
      </c>
      <c r="C1966" s="1">
        <v>44592</v>
      </c>
      <c r="D1966" s="1">
        <v>44968</v>
      </c>
      <c r="E1966">
        <v>4770.3500000000004</v>
      </c>
      <c r="F1966">
        <f t="shared" si="91"/>
        <v>2021</v>
      </c>
      <c r="G1966">
        <f t="shared" si="92"/>
        <v>2023</v>
      </c>
      <c r="H1966">
        <f t="shared" si="90"/>
        <v>2</v>
      </c>
    </row>
    <row r="1967" spans="1:8" x14ac:dyDescent="0.25">
      <c r="A1967" t="s">
        <v>2888</v>
      </c>
      <c r="B1967" s="1">
        <v>45131</v>
      </c>
      <c r="C1967" s="1">
        <v>45178</v>
      </c>
      <c r="D1967" s="1">
        <v>45278</v>
      </c>
      <c r="E1967">
        <v>19833.73</v>
      </c>
      <c r="F1967">
        <f t="shared" si="91"/>
        <v>2023</v>
      </c>
      <c r="G1967">
        <f t="shared" si="92"/>
        <v>2023</v>
      </c>
      <c r="H1967">
        <f t="shared" si="90"/>
        <v>0</v>
      </c>
    </row>
    <row r="1968" spans="1:8" x14ac:dyDescent="0.25">
      <c r="A1968" t="s">
        <v>2887</v>
      </c>
      <c r="B1968" s="1">
        <v>44081</v>
      </c>
      <c r="C1968" s="1">
        <v>44135</v>
      </c>
      <c r="D1968" s="1">
        <v>44273</v>
      </c>
      <c r="E1968">
        <v>52322.559999999998</v>
      </c>
      <c r="F1968">
        <f t="shared" si="91"/>
        <v>2020</v>
      </c>
      <c r="G1968">
        <f t="shared" si="92"/>
        <v>2021</v>
      </c>
      <c r="H1968">
        <f t="shared" si="90"/>
        <v>1</v>
      </c>
    </row>
    <row r="1969" spans="1:8" x14ac:dyDescent="0.25">
      <c r="A1969" t="s">
        <v>2825</v>
      </c>
      <c r="B1969" s="1">
        <v>43976</v>
      </c>
      <c r="C1969" s="1">
        <v>44037</v>
      </c>
      <c r="D1969" s="1">
        <v>44291</v>
      </c>
      <c r="E1969">
        <v>59760.08</v>
      </c>
      <c r="F1969">
        <f t="shared" si="91"/>
        <v>2020</v>
      </c>
      <c r="G1969">
        <f t="shared" si="92"/>
        <v>2021</v>
      </c>
      <c r="H1969">
        <f t="shared" si="90"/>
        <v>1</v>
      </c>
    </row>
    <row r="1970" spans="1:8" x14ac:dyDescent="0.25">
      <c r="A1970" t="s">
        <v>2905</v>
      </c>
      <c r="B1970" s="1">
        <v>44667</v>
      </c>
      <c r="C1970" s="1">
        <v>44716</v>
      </c>
      <c r="D1970" s="1">
        <v>44747</v>
      </c>
      <c r="E1970">
        <v>48441.14</v>
      </c>
      <c r="F1970">
        <f t="shared" si="91"/>
        <v>2022</v>
      </c>
      <c r="G1970">
        <f t="shared" si="92"/>
        <v>2022</v>
      </c>
      <c r="H1970">
        <f t="shared" si="90"/>
        <v>0</v>
      </c>
    </row>
    <row r="1971" spans="1:8" x14ac:dyDescent="0.25">
      <c r="A1971" t="s">
        <v>2906</v>
      </c>
      <c r="B1971" s="1">
        <v>44584</v>
      </c>
      <c r="C1971" s="1">
        <v>44670</v>
      </c>
      <c r="D1971" s="1">
        <v>44825</v>
      </c>
      <c r="E1971">
        <v>16816.849999999999</v>
      </c>
      <c r="F1971">
        <f t="shared" si="91"/>
        <v>2022</v>
      </c>
      <c r="G1971">
        <f t="shared" si="92"/>
        <v>2022</v>
      </c>
      <c r="H1971">
        <f t="shared" si="90"/>
        <v>0</v>
      </c>
    </row>
    <row r="1972" spans="1:8" x14ac:dyDescent="0.25">
      <c r="A1972" t="s">
        <v>2713</v>
      </c>
      <c r="B1972" s="1">
        <v>45050</v>
      </c>
      <c r="C1972" s="1">
        <v>45055</v>
      </c>
      <c r="D1972" s="1">
        <v>45595</v>
      </c>
      <c r="E1972">
        <v>73136.23</v>
      </c>
      <c r="F1972">
        <f t="shared" si="91"/>
        <v>2023</v>
      </c>
      <c r="G1972">
        <f t="shared" si="92"/>
        <v>2024</v>
      </c>
      <c r="H1972">
        <f t="shared" si="90"/>
        <v>1</v>
      </c>
    </row>
    <row r="1973" spans="1:8" x14ac:dyDescent="0.25">
      <c r="A1973" t="s">
        <v>2907</v>
      </c>
      <c r="B1973" s="1">
        <v>43926</v>
      </c>
      <c r="C1973" s="1">
        <v>43964</v>
      </c>
      <c r="D1973" s="1">
        <v>44028</v>
      </c>
      <c r="E1973">
        <v>25016.41</v>
      </c>
      <c r="F1973">
        <f t="shared" si="91"/>
        <v>2020</v>
      </c>
      <c r="G1973">
        <f t="shared" si="92"/>
        <v>2020</v>
      </c>
      <c r="H1973">
        <f t="shared" si="90"/>
        <v>0</v>
      </c>
    </row>
    <row r="1974" spans="1:8" x14ac:dyDescent="0.25">
      <c r="A1974" t="s">
        <v>2581</v>
      </c>
      <c r="B1974" s="1">
        <v>45094</v>
      </c>
      <c r="C1974" s="1">
        <v>45142</v>
      </c>
      <c r="D1974" s="1">
        <v>45360</v>
      </c>
      <c r="E1974">
        <v>-12037.14</v>
      </c>
      <c r="F1974">
        <f t="shared" si="91"/>
        <v>2023</v>
      </c>
      <c r="G1974">
        <f t="shared" si="92"/>
        <v>2024</v>
      </c>
      <c r="H1974">
        <f t="shared" si="90"/>
        <v>1</v>
      </c>
    </row>
    <row r="1975" spans="1:8" x14ac:dyDescent="0.25">
      <c r="A1975" t="s">
        <v>2355</v>
      </c>
      <c r="B1975" s="1">
        <v>44272</v>
      </c>
      <c r="C1975" s="1">
        <v>44338</v>
      </c>
      <c r="D1975" s="1">
        <v>44645</v>
      </c>
      <c r="E1975">
        <v>53005.56</v>
      </c>
      <c r="F1975">
        <f t="shared" si="91"/>
        <v>2021</v>
      </c>
      <c r="G1975">
        <f t="shared" si="92"/>
        <v>2022</v>
      </c>
      <c r="H1975">
        <f t="shared" si="90"/>
        <v>1</v>
      </c>
    </row>
    <row r="1976" spans="1:8" x14ac:dyDescent="0.25">
      <c r="A1976" t="s">
        <v>2405</v>
      </c>
      <c r="B1976" s="1">
        <v>44167</v>
      </c>
      <c r="C1976" s="1">
        <v>44248</v>
      </c>
      <c r="D1976" s="1">
        <v>44326</v>
      </c>
      <c r="E1976">
        <v>6606.64</v>
      </c>
      <c r="F1976">
        <f t="shared" si="91"/>
        <v>2020</v>
      </c>
      <c r="G1976">
        <f t="shared" si="92"/>
        <v>2021</v>
      </c>
      <c r="H1976">
        <f t="shared" si="90"/>
        <v>1</v>
      </c>
    </row>
    <row r="1977" spans="1:8" x14ac:dyDescent="0.25">
      <c r="A1977" t="s">
        <v>2567</v>
      </c>
      <c r="B1977" s="1">
        <v>44242</v>
      </c>
      <c r="C1977" s="1">
        <v>44294</v>
      </c>
      <c r="D1977" s="1">
        <v>44623</v>
      </c>
      <c r="E1977">
        <v>3506.31</v>
      </c>
      <c r="F1977">
        <f t="shared" si="91"/>
        <v>2021</v>
      </c>
      <c r="G1977">
        <f t="shared" si="92"/>
        <v>2022</v>
      </c>
      <c r="H1977">
        <f t="shared" si="90"/>
        <v>1</v>
      </c>
    </row>
    <row r="1978" spans="1:8" x14ac:dyDescent="0.25">
      <c r="A1978" t="s">
        <v>2639</v>
      </c>
      <c r="B1978" s="1">
        <v>44409</v>
      </c>
      <c r="C1978" s="1">
        <v>44425</v>
      </c>
      <c r="D1978" s="1">
        <v>44918</v>
      </c>
      <c r="E1978">
        <v>28943.05</v>
      </c>
      <c r="F1978">
        <f t="shared" si="91"/>
        <v>2021</v>
      </c>
      <c r="G1978">
        <f t="shared" si="92"/>
        <v>2022</v>
      </c>
      <c r="H1978">
        <f t="shared" si="90"/>
        <v>1</v>
      </c>
    </row>
    <row r="1979" spans="1:8" x14ac:dyDescent="0.25">
      <c r="A1979" t="s">
        <v>2757</v>
      </c>
      <c r="B1979" s="1">
        <v>43877</v>
      </c>
      <c r="C1979" s="1">
        <v>43898</v>
      </c>
      <c r="D1979" s="1">
        <v>44130</v>
      </c>
      <c r="E1979">
        <v>32901.129999999997</v>
      </c>
      <c r="F1979">
        <f t="shared" si="91"/>
        <v>2020</v>
      </c>
      <c r="G1979">
        <f t="shared" si="92"/>
        <v>2020</v>
      </c>
      <c r="H1979">
        <f t="shared" si="90"/>
        <v>0</v>
      </c>
    </row>
    <row r="1980" spans="1:8" x14ac:dyDescent="0.25">
      <c r="A1980" t="s">
        <v>2680</v>
      </c>
      <c r="B1980" s="1">
        <v>44849</v>
      </c>
      <c r="D1980" s="1">
        <v>45151</v>
      </c>
      <c r="E1980">
        <v>81665.27</v>
      </c>
      <c r="F1980">
        <f t="shared" si="91"/>
        <v>2022</v>
      </c>
      <c r="G1980">
        <f t="shared" si="92"/>
        <v>2023</v>
      </c>
      <c r="H1980">
        <f t="shared" si="90"/>
        <v>1</v>
      </c>
    </row>
    <row r="1981" spans="1:8" x14ac:dyDescent="0.25">
      <c r="A1981" t="s">
        <v>2435</v>
      </c>
      <c r="B1981" s="1">
        <v>44237</v>
      </c>
      <c r="C1981" s="1">
        <v>44294</v>
      </c>
      <c r="D1981" s="1">
        <v>44620</v>
      </c>
      <c r="E1981">
        <v>20548.79</v>
      </c>
      <c r="F1981">
        <f t="shared" si="91"/>
        <v>2021</v>
      </c>
      <c r="G1981">
        <f t="shared" si="92"/>
        <v>2022</v>
      </c>
      <c r="H1981">
        <f t="shared" si="90"/>
        <v>1</v>
      </c>
    </row>
    <row r="1982" spans="1:8" x14ac:dyDescent="0.25">
      <c r="A1982" t="s">
        <v>2350</v>
      </c>
      <c r="B1982" s="1">
        <v>44097</v>
      </c>
      <c r="C1982" s="1">
        <v>44179</v>
      </c>
      <c r="D1982" s="1">
        <v>44250</v>
      </c>
      <c r="E1982">
        <v>69814.97</v>
      </c>
      <c r="F1982">
        <f t="shared" si="91"/>
        <v>2020</v>
      </c>
      <c r="G1982">
        <f t="shared" si="92"/>
        <v>2021</v>
      </c>
      <c r="H1982">
        <f t="shared" si="90"/>
        <v>1</v>
      </c>
    </row>
    <row r="1983" spans="1:8" x14ac:dyDescent="0.25">
      <c r="A1983" t="s">
        <v>2845</v>
      </c>
      <c r="B1983" s="1">
        <v>44241</v>
      </c>
      <c r="C1983" s="1">
        <v>44301</v>
      </c>
      <c r="D1983" s="1">
        <v>44403</v>
      </c>
      <c r="E1983">
        <v>59632.88</v>
      </c>
      <c r="F1983">
        <f t="shared" si="91"/>
        <v>2021</v>
      </c>
      <c r="G1983">
        <f t="shared" si="92"/>
        <v>2021</v>
      </c>
      <c r="H1983">
        <f t="shared" si="90"/>
        <v>0</v>
      </c>
    </row>
    <row r="1984" spans="1:8" x14ac:dyDescent="0.25">
      <c r="A1984" t="s">
        <v>2871</v>
      </c>
      <c r="B1984" s="1">
        <v>45127</v>
      </c>
      <c r="C1984" s="1">
        <v>45214</v>
      </c>
      <c r="D1984" s="1">
        <v>45584</v>
      </c>
      <c r="E1984">
        <v>80226.09</v>
      </c>
      <c r="F1984">
        <f t="shared" si="91"/>
        <v>2023</v>
      </c>
      <c r="G1984">
        <f t="shared" si="92"/>
        <v>2024</v>
      </c>
      <c r="H1984">
        <f t="shared" si="90"/>
        <v>1</v>
      </c>
    </row>
    <row r="1985" spans="1:8" x14ac:dyDescent="0.25">
      <c r="A1985" t="s">
        <v>2182</v>
      </c>
      <c r="B1985" s="1">
        <v>44949</v>
      </c>
      <c r="C1985" s="1">
        <v>45015</v>
      </c>
      <c r="D1985" s="1">
        <v>45212</v>
      </c>
      <c r="E1985">
        <v>58556.17</v>
      </c>
      <c r="F1985">
        <f t="shared" si="91"/>
        <v>2023</v>
      </c>
      <c r="G1985">
        <f t="shared" si="92"/>
        <v>2023</v>
      </c>
      <c r="H1985">
        <f t="shared" si="90"/>
        <v>0</v>
      </c>
    </row>
    <row r="1986" spans="1:8" x14ac:dyDescent="0.25">
      <c r="A1986" t="s">
        <v>2652</v>
      </c>
      <c r="B1986" s="1">
        <v>44266</v>
      </c>
      <c r="C1986" s="1">
        <v>44342</v>
      </c>
      <c r="D1986" s="1">
        <v>44416</v>
      </c>
      <c r="E1986">
        <v>34101.74</v>
      </c>
      <c r="F1986">
        <f t="shared" si="91"/>
        <v>2021</v>
      </c>
      <c r="G1986">
        <f t="shared" si="92"/>
        <v>2021</v>
      </c>
      <c r="H1986">
        <f t="shared" ref="H1986:H2049" si="93">MAX(0,G1986-F1986)</f>
        <v>0</v>
      </c>
    </row>
    <row r="1987" spans="1:8" x14ac:dyDescent="0.25">
      <c r="A1987" t="s">
        <v>2908</v>
      </c>
      <c r="B1987" s="1">
        <v>44574</v>
      </c>
      <c r="C1987" s="1">
        <v>44597</v>
      </c>
      <c r="D1987" s="1">
        <v>44627</v>
      </c>
      <c r="E1987">
        <v>61154.6</v>
      </c>
      <c r="F1987">
        <f t="shared" ref="F1987:F2050" si="94">YEAR(B1987)</f>
        <v>2022</v>
      </c>
      <c r="G1987">
        <f t="shared" ref="G1987:G2050" si="95">YEAR(D1987)</f>
        <v>2022</v>
      </c>
      <c r="H1987">
        <f t="shared" si="93"/>
        <v>0</v>
      </c>
    </row>
    <row r="1988" spans="1:8" x14ac:dyDescent="0.25">
      <c r="A1988" t="s">
        <v>2348</v>
      </c>
      <c r="B1988" s="1">
        <v>44756</v>
      </c>
      <c r="C1988" s="1">
        <v>44771</v>
      </c>
      <c r="D1988" s="1">
        <v>44938</v>
      </c>
      <c r="E1988">
        <v>66690.899999999994</v>
      </c>
      <c r="F1988">
        <f t="shared" si="94"/>
        <v>2022</v>
      </c>
      <c r="G1988">
        <f t="shared" si="95"/>
        <v>2023</v>
      </c>
      <c r="H1988">
        <f t="shared" si="93"/>
        <v>1</v>
      </c>
    </row>
    <row r="1989" spans="1:8" x14ac:dyDescent="0.25">
      <c r="A1989" t="s">
        <v>2558</v>
      </c>
      <c r="B1989" s="1">
        <v>45437</v>
      </c>
      <c r="C1989" s="1">
        <v>45503</v>
      </c>
      <c r="D1989" s="1">
        <v>45719</v>
      </c>
      <c r="E1989">
        <v>53113.67</v>
      </c>
      <c r="F1989">
        <f t="shared" si="94"/>
        <v>2024</v>
      </c>
      <c r="G1989">
        <f t="shared" si="95"/>
        <v>2025</v>
      </c>
      <c r="H1989">
        <f t="shared" si="93"/>
        <v>1</v>
      </c>
    </row>
    <row r="1990" spans="1:8" x14ac:dyDescent="0.25">
      <c r="A1990" t="s">
        <v>2177</v>
      </c>
      <c r="B1990" s="1">
        <v>44810</v>
      </c>
      <c r="C1990" s="1">
        <v>44880</v>
      </c>
      <c r="D1990" s="1">
        <v>45008</v>
      </c>
      <c r="E1990">
        <v>-11203.82</v>
      </c>
      <c r="F1990">
        <f t="shared" si="94"/>
        <v>2022</v>
      </c>
      <c r="G1990">
        <f t="shared" si="95"/>
        <v>2023</v>
      </c>
      <c r="H1990">
        <f t="shared" si="93"/>
        <v>1</v>
      </c>
    </row>
    <row r="1991" spans="1:8" x14ac:dyDescent="0.25">
      <c r="A1991" t="s">
        <v>2722</v>
      </c>
      <c r="B1991" s="1">
        <v>43870</v>
      </c>
      <c r="C1991" s="1">
        <v>43884</v>
      </c>
      <c r="D1991" s="1">
        <v>44016</v>
      </c>
      <c r="E1991">
        <v>-5754.22</v>
      </c>
      <c r="F1991">
        <f t="shared" si="94"/>
        <v>2020</v>
      </c>
      <c r="G1991">
        <f t="shared" si="95"/>
        <v>2020</v>
      </c>
      <c r="H1991">
        <f t="shared" si="93"/>
        <v>0</v>
      </c>
    </row>
    <row r="1992" spans="1:8" x14ac:dyDescent="0.25">
      <c r="A1992" t="s">
        <v>2271</v>
      </c>
      <c r="B1992" s="1">
        <v>44715</v>
      </c>
      <c r="C1992" s="1">
        <v>44801</v>
      </c>
      <c r="D1992" s="1">
        <v>44950</v>
      </c>
      <c r="E1992">
        <v>69216.25</v>
      </c>
      <c r="F1992">
        <f t="shared" si="94"/>
        <v>2022</v>
      </c>
      <c r="G1992">
        <f t="shared" si="95"/>
        <v>2023</v>
      </c>
      <c r="H1992">
        <f t="shared" si="93"/>
        <v>1</v>
      </c>
    </row>
    <row r="1993" spans="1:8" x14ac:dyDescent="0.25">
      <c r="A1993" t="s">
        <v>2809</v>
      </c>
      <c r="B1993" s="1">
        <v>44588</v>
      </c>
      <c r="C1993" s="1">
        <v>44622</v>
      </c>
      <c r="D1993" s="1">
        <v>44926</v>
      </c>
      <c r="E1993">
        <v>39500.629999999997</v>
      </c>
      <c r="F1993">
        <f t="shared" si="94"/>
        <v>2022</v>
      </c>
      <c r="G1993">
        <f t="shared" si="95"/>
        <v>2022</v>
      </c>
      <c r="H1993">
        <f t="shared" si="93"/>
        <v>0</v>
      </c>
    </row>
    <row r="1994" spans="1:8" x14ac:dyDescent="0.25">
      <c r="A1994" t="s">
        <v>2757</v>
      </c>
      <c r="B1994" s="1">
        <v>43877</v>
      </c>
      <c r="C1994" s="1">
        <v>43898</v>
      </c>
      <c r="D1994" s="1">
        <v>44112</v>
      </c>
      <c r="E1994">
        <v>55738.95</v>
      </c>
      <c r="F1994">
        <f t="shared" si="94"/>
        <v>2020</v>
      </c>
      <c r="G1994">
        <f t="shared" si="95"/>
        <v>2020</v>
      </c>
      <c r="H1994">
        <f t="shared" si="93"/>
        <v>0</v>
      </c>
    </row>
    <row r="1995" spans="1:8" x14ac:dyDescent="0.25">
      <c r="A1995" t="s">
        <v>2613</v>
      </c>
      <c r="B1995" s="1">
        <v>45073</v>
      </c>
      <c r="C1995" s="1">
        <v>45154</v>
      </c>
      <c r="D1995" s="1">
        <v>45222</v>
      </c>
      <c r="E1995">
        <v>46082.73</v>
      </c>
      <c r="F1995">
        <f t="shared" si="94"/>
        <v>2023</v>
      </c>
      <c r="G1995">
        <f t="shared" si="95"/>
        <v>2023</v>
      </c>
      <c r="H1995">
        <f t="shared" si="93"/>
        <v>0</v>
      </c>
    </row>
    <row r="1996" spans="1:8" x14ac:dyDescent="0.25">
      <c r="A1996" t="s">
        <v>2490</v>
      </c>
      <c r="B1996" s="1">
        <v>45025</v>
      </c>
      <c r="C1996" s="1">
        <v>45073</v>
      </c>
      <c r="D1996" s="1">
        <v>45184</v>
      </c>
      <c r="E1996">
        <v>-13613.88</v>
      </c>
      <c r="F1996">
        <f t="shared" si="94"/>
        <v>2023</v>
      </c>
      <c r="G1996">
        <f t="shared" si="95"/>
        <v>2023</v>
      </c>
      <c r="H1996">
        <f t="shared" si="93"/>
        <v>0</v>
      </c>
    </row>
    <row r="1997" spans="1:8" x14ac:dyDescent="0.25">
      <c r="A1997" t="s">
        <v>2909</v>
      </c>
      <c r="B1997" s="1">
        <v>45300</v>
      </c>
      <c r="C1997" s="1">
        <v>45345</v>
      </c>
      <c r="D1997" s="1">
        <v>45735</v>
      </c>
      <c r="E1997">
        <v>14722.27</v>
      </c>
      <c r="F1997">
        <f t="shared" si="94"/>
        <v>2024</v>
      </c>
      <c r="G1997">
        <f t="shared" si="95"/>
        <v>2025</v>
      </c>
      <c r="H1997">
        <f t="shared" si="93"/>
        <v>1</v>
      </c>
    </row>
    <row r="1998" spans="1:8" x14ac:dyDescent="0.25">
      <c r="A1998" t="s">
        <v>2735</v>
      </c>
      <c r="B1998" s="1">
        <v>45470</v>
      </c>
      <c r="C1998" s="1">
        <v>45517</v>
      </c>
      <c r="D1998" s="1">
        <v>45556</v>
      </c>
      <c r="E1998">
        <v>33481.199999999997</v>
      </c>
      <c r="F1998">
        <f t="shared" si="94"/>
        <v>2024</v>
      </c>
      <c r="G1998">
        <f t="shared" si="95"/>
        <v>2024</v>
      </c>
      <c r="H1998">
        <f t="shared" si="93"/>
        <v>0</v>
      </c>
    </row>
    <row r="1999" spans="1:8" x14ac:dyDescent="0.25">
      <c r="A1999" t="s">
        <v>2882</v>
      </c>
      <c r="B1999" s="1">
        <v>44845</v>
      </c>
      <c r="C1999" s="1">
        <v>44873</v>
      </c>
      <c r="D1999" s="1">
        <v>44999</v>
      </c>
      <c r="E1999">
        <v>27386.58</v>
      </c>
      <c r="F1999">
        <f t="shared" si="94"/>
        <v>2022</v>
      </c>
      <c r="G1999">
        <f t="shared" si="95"/>
        <v>2023</v>
      </c>
      <c r="H1999">
        <f t="shared" si="93"/>
        <v>1</v>
      </c>
    </row>
    <row r="2000" spans="1:8" x14ac:dyDescent="0.25">
      <c r="A2000" t="s">
        <v>2799</v>
      </c>
      <c r="B2000" s="1">
        <v>44708</v>
      </c>
      <c r="D2000" s="1">
        <v>45119</v>
      </c>
      <c r="E2000">
        <v>4398.7700000000004</v>
      </c>
      <c r="F2000">
        <f t="shared" si="94"/>
        <v>2022</v>
      </c>
      <c r="G2000">
        <f t="shared" si="95"/>
        <v>2023</v>
      </c>
      <c r="H2000">
        <f t="shared" si="93"/>
        <v>1</v>
      </c>
    </row>
    <row r="2001" spans="1:8" x14ac:dyDescent="0.25">
      <c r="A2001" t="s">
        <v>2199</v>
      </c>
      <c r="B2001" s="1">
        <v>44217</v>
      </c>
      <c r="C2001" s="1">
        <v>44288</v>
      </c>
      <c r="D2001" s="1">
        <v>44540</v>
      </c>
      <c r="E2001">
        <v>42342</v>
      </c>
      <c r="F2001">
        <f t="shared" si="94"/>
        <v>2021</v>
      </c>
      <c r="G2001">
        <f t="shared" si="95"/>
        <v>2021</v>
      </c>
      <c r="H2001">
        <f t="shared" si="93"/>
        <v>0</v>
      </c>
    </row>
    <row r="2002" spans="1:8" x14ac:dyDescent="0.25">
      <c r="A2002" t="s">
        <v>2715</v>
      </c>
      <c r="B2002" s="1">
        <v>45434</v>
      </c>
      <c r="C2002" s="1">
        <v>45443</v>
      </c>
      <c r="D2002" s="1">
        <v>45597</v>
      </c>
      <c r="E2002">
        <v>81353.39</v>
      </c>
      <c r="F2002">
        <f t="shared" si="94"/>
        <v>2024</v>
      </c>
      <c r="G2002">
        <f t="shared" si="95"/>
        <v>2024</v>
      </c>
      <c r="H2002">
        <f t="shared" si="93"/>
        <v>0</v>
      </c>
    </row>
    <row r="2003" spans="1:8" x14ac:dyDescent="0.25">
      <c r="A2003" t="s">
        <v>2232</v>
      </c>
      <c r="B2003" s="1">
        <v>45197</v>
      </c>
      <c r="C2003" s="1">
        <v>45270</v>
      </c>
      <c r="D2003" s="1">
        <v>45457</v>
      </c>
      <c r="E2003">
        <v>21078.04</v>
      </c>
      <c r="F2003">
        <f t="shared" si="94"/>
        <v>2023</v>
      </c>
      <c r="G2003">
        <f t="shared" si="95"/>
        <v>2024</v>
      </c>
      <c r="H2003">
        <f t="shared" si="93"/>
        <v>1</v>
      </c>
    </row>
    <row r="2004" spans="1:8" x14ac:dyDescent="0.25">
      <c r="A2004" t="s">
        <v>2863</v>
      </c>
      <c r="B2004" s="1">
        <v>45210</v>
      </c>
      <c r="C2004" s="1">
        <v>45298</v>
      </c>
      <c r="D2004" s="1">
        <v>45530</v>
      </c>
      <c r="E2004">
        <v>8078.47</v>
      </c>
      <c r="F2004">
        <f t="shared" si="94"/>
        <v>2023</v>
      </c>
      <c r="G2004">
        <f t="shared" si="95"/>
        <v>2024</v>
      </c>
      <c r="H2004">
        <f t="shared" si="93"/>
        <v>1</v>
      </c>
    </row>
    <row r="2005" spans="1:8" x14ac:dyDescent="0.25">
      <c r="A2005" t="s">
        <v>2762</v>
      </c>
      <c r="B2005" s="1">
        <v>44194</v>
      </c>
      <c r="C2005" s="1">
        <v>44213</v>
      </c>
      <c r="D2005" s="1">
        <v>44471</v>
      </c>
      <c r="E2005">
        <v>13363.96</v>
      </c>
      <c r="F2005">
        <f t="shared" si="94"/>
        <v>2020</v>
      </c>
      <c r="G2005">
        <f t="shared" si="95"/>
        <v>2021</v>
      </c>
      <c r="H2005">
        <f t="shared" si="93"/>
        <v>1</v>
      </c>
    </row>
    <row r="2006" spans="1:8" x14ac:dyDescent="0.25">
      <c r="A2006" t="s">
        <v>2847</v>
      </c>
      <c r="B2006" s="1">
        <v>44159</v>
      </c>
      <c r="C2006" s="1">
        <v>44205</v>
      </c>
      <c r="D2006" s="1">
        <v>44430</v>
      </c>
      <c r="E2006">
        <v>68990.3</v>
      </c>
      <c r="F2006">
        <f t="shared" si="94"/>
        <v>2020</v>
      </c>
      <c r="G2006">
        <f t="shared" si="95"/>
        <v>2021</v>
      </c>
      <c r="H2006">
        <f t="shared" si="93"/>
        <v>1</v>
      </c>
    </row>
    <row r="2007" spans="1:8" x14ac:dyDescent="0.25">
      <c r="A2007" t="s">
        <v>2148</v>
      </c>
      <c r="B2007" s="1">
        <v>44276</v>
      </c>
      <c r="C2007" s="1">
        <v>44286</v>
      </c>
      <c r="D2007" s="1">
        <v>44712</v>
      </c>
      <c r="E2007">
        <v>37610.559999999998</v>
      </c>
      <c r="F2007">
        <f t="shared" si="94"/>
        <v>2021</v>
      </c>
      <c r="G2007">
        <f t="shared" si="95"/>
        <v>2022</v>
      </c>
      <c r="H2007">
        <f t="shared" si="93"/>
        <v>1</v>
      </c>
    </row>
    <row r="2008" spans="1:8" x14ac:dyDescent="0.25">
      <c r="A2008" t="s">
        <v>2640</v>
      </c>
      <c r="B2008" s="1">
        <v>45302</v>
      </c>
      <c r="C2008" s="1">
        <v>45339</v>
      </c>
      <c r="D2008" s="1">
        <v>45513</v>
      </c>
      <c r="E2008">
        <v>48518.9</v>
      </c>
      <c r="F2008">
        <f t="shared" si="94"/>
        <v>2024</v>
      </c>
      <c r="G2008">
        <f t="shared" si="95"/>
        <v>2024</v>
      </c>
      <c r="H2008">
        <f t="shared" si="93"/>
        <v>0</v>
      </c>
    </row>
    <row r="2009" spans="1:8" x14ac:dyDescent="0.25">
      <c r="A2009" t="s">
        <v>2286</v>
      </c>
      <c r="B2009" s="1">
        <v>45110</v>
      </c>
      <c r="C2009" s="1">
        <v>45118</v>
      </c>
      <c r="D2009" s="1">
        <v>45584</v>
      </c>
      <c r="E2009">
        <v>4949.71</v>
      </c>
      <c r="F2009">
        <f t="shared" si="94"/>
        <v>2023</v>
      </c>
      <c r="G2009">
        <f t="shared" si="95"/>
        <v>2024</v>
      </c>
      <c r="H2009">
        <f t="shared" si="93"/>
        <v>1</v>
      </c>
    </row>
    <row r="2010" spans="1:8" x14ac:dyDescent="0.25">
      <c r="A2010" t="s">
        <v>2653</v>
      </c>
      <c r="B2010" s="1">
        <v>44386</v>
      </c>
      <c r="C2010" s="1">
        <v>44433</v>
      </c>
      <c r="D2010" s="1">
        <v>44614</v>
      </c>
      <c r="E2010">
        <v>32379.4</v>
      </c>
      <c r="F2010">
        <f t="shared" si="94"/>
        <v>2021</v>
      </c>
      <c r="G2010">
        <f t="shared" si="95"/>
        <v>2022</v>
      </c>
      <c r="H2010">
        <f t="shared" si="93"/>
        <v>1</v>
      </c>
    </row>
    <row r="2011" spans="1:8" x14ac:dyDescent="0.25">
      <c r="A2011" t="s">
        <v>2306</v>
      </c>
      <c r="B2011" s="1">
        <v>45077</v>
      </c>
      <c r="C2011" s="1">
        <v>45119</v>
      </c>
      <c r="D2011" s="1">
        <v>45412</v>
      </c>
      <c r="E2011">
        <v>24796.1</v>
      </c>
      <c r="F2011">
        <f t="shared" si="94"/>
        <v>2023</v>
      </c>
      <c r="G2011">
        <f t="shared" si="95"/>
        <v>2024</v>
      </c>
      <c r="H2011">
        <f t="shared" si="93"/>
        <v>1</v>
      </c>
    </row>
    <row r="2012" spans="1:8" x14ac:dyDescent="0.25">
      <c r="A2012" t="s">
        <v>2652</v>
      </c>
      <c r="B2012" s="1">
        <v>44266</v>
      </c>
      <c r="C2012" s="1">
        <v>44342</v>
      </c>
      <c r="D2012" s="1">
        <v>44581</v>
      </c>
      <c r="E2012">
        <v>39061.68</v>
      </c>
      <c r="F2012">
        <f t="shared" si="94"/>
        <v>2021</v>
      </c>
      <c r="G2012">
        <f t="shared" si="95"/>
        <v>2022</v>
      </c>
      <c r="H2012">
        <f t="shared" si="93"/>
        <v>1</v>
      </c>
    </row>
    <row r="2013" spans="1:8" x14ac:dyDescent="0.25">
      <c r="A2013" t="s">
        <v>2826</v>
      </c>
      <c r="B2013" s="1">
        <v>44483</v>
      </c>
      <c r="C2013" s="1">
        <v>44554</v>
      </c>
      <c r="D2013" s="1">
        <v>44642</v>
      </c>
      <c r="E2013">
        <v>26693.26</v>
      </c>
      <c r="F2013">
        <f t="shared" si="94"/>
        <v>2021</v>
      </c>
      <c r="G2013">
        <f t="shared" si="95"/>
        <v>2022</v>
      </c>
      <c r="H2013">
        <f t="shared" si="93"/>
        <v>1</v>
      </c>
    </row>
    <row r="2014" spans="1:8" x14ac:dyDescent="0.25">
      <c r="A2014" t="s">
        <v>2597</v>
      </c>
      <c r="B2014" s="1">
        <v>44294</v>
      </c>
      <c r="C2014" s="1">
        <v>44296</v>
      </c>
      <c r="D2014" s="1">
        <v>44671</v>
      </c>
      <c r="E2014">
        <v>84139.28</v>
      </c>
      <c r="F2014">
        <f t="shared" si="94"/>
        <v>2021</v>
      </c>
      <c r="G2014">
        <f t="shared" si="95"/>
        <v>2022</v>
      </c>
      <c r="H2014">
        <f t="shared" si="93"/>
        <v>1</v>
      </c>
    </row>
    <row r="2015" spans="1:8" x14ac:dyDescent="0.25">
      <c r="A2015" t="s">
        <v>2839</v>
      </c>
      <c r="B2015" s="1">
        <v>44061</v>
      </c>
      <c r="C2015" s="1">
        <v>44135</v>
      </c>
      <c r="D2015" s="1">
        <v>44295</v>
      </c>
      <c r="E2015">
        <v>29709.53</v>
      </c>
      <c r="F2015">
        <f t="shared" si="94"/>
        <v>2020</v>
      </c>
      <c r="G2015">
        <f t="shared" si="95"/>
        <v>2021</v>
      </c>
      <c r="H2015">
        <f t="shared" si="93"/>
        <v>1</v>
      </c>
    </row>
    <row r="2016" spans="1:8" x14ac:dyDescent="0.25">
      <c r="A2016" t="s">
        <v>2910</v>
      </c>
      <c r="B2016" s="1">
        <v>45323</v>
      </c>
      <c r="C2016" s="1">
        <v>45384</v>
      </c>
      <c r="D2016" s="1">
        <v>45472</v>
      </c>
      <c r="E2016">
        <v>54754.05</v>
      </c>
      <c r="F2016">
        <f t="shared" si="94"/>
        <v>2024</v>
      </c>
      <c r="G2016">
        <f t="shared" si="95"/>
        <v>2024</v>
      </c>
      <c r="H2016">
        <f t="shared" si="93"/>
        <v>0</v>
      </c>
    </row>
    <row r="2017" spans="1:8" x14ac:dyDescent="0.25">
      <c r="A2017" t="s">
        <v>2906</v>
      </c>
      <c r="B2017" s="1">
        <v>44584</v>
      </c>
      <c r="C2017" s="1">
        <v>44670</v>
      </c>
      <c r="D2017" s="1">
        <v>44705</v>
      </c>
      <c r="E2017">
        <v>54733.95</v>
      </c>
      <c r="F2017">
        <f t="shared" si="94"/>
        <v>2022</v>
      </c>
      <c r="G2017">
        <f t="shared" si="95"/>
        <v>2022</v>
      </c>
      <c r="H2017">
        <f t="shared" si="93"/>
        <v>0</v>
      </c>
    </row>
    <row r="2018" spans="1:8" x14ac:dyDescent="0.25">
      <c r="A2018" t="s">
        <v>2341</v>
      </c>
      <c r="B2018" s="1">
        <v>44220</v>
      </c>
      <c r="C2018" s="1">
        <v>44289</v>
      </c>
      <c r="D2018" s="1">
        <v>44337</v>
      </c>
      <c r="E2018">
        <v>72956.149999999994</v>
      </c>
      <c r="F2018">
        <f t="shared" si="94"/>
        <v>2021</v>
      </c>
      <c r="G2018">
        <f t="shared" si="95"/>
        <v>2021</v>
      </c>
      <c r="H2018">
        <f t="shared" si="93"/>
        <v>0</v>
      </c>
    </row>
    <row r="2019" spans="1:8" x14ac:dyDescent="0.25">
      <c r="A2019" t="s">
        <v>2909</v>
      </c>
      <c r="B2019" s="1">
        <v>45300</v>
      </c>
      <c r="C2019" s="1">
        <v>45345</v>
      </c>
      <c r="D2019" s="1">
        <v>45543</v>
      </c>
      <c r="E2019">
        <v>11105.92</v>
      </c>
      <c r="F2019">
        <f t="shared" si="94"/>
        <v>2024</v>
      </c>
      <c r="G2019">
        <f t="shared" si="95"/>
        <v>2024</v>
      </c>
      <c r="H2019">
        <f t="shared" si="93"/>
        <v>0</v>
      </c>
    </row>
    <row r="2020" spans="1:8" x14ac:dyDescent="0.25">
      <c r="A2020" t="s">
        <v>2261</v>
      </c>
      <c r="B2020" s="1">
        <v>44352</v>
      </c>
      <c r="C2020" s="1">
        <v>44418</v>
      </c>
      <c r="D2020" s="1">
        <v>44646</v>
      </c>
      <c r="E2020">
        <v>11518.38</v>
      </c>
      <c r="F2020">
        <f t="shared" si="94"/>
        <v>2021</v>
      </c>
      <c r="G2020">
        <f t="shared" si="95"/>
        <v>2022</v>
      </c>
      <c r="H2020">
        <f t="shared" si="93"/>
        <v>1</v>
      </c>
    </row>
    <row r="2021" spans="1:8" x14ac:dyDescent="0.25">
      <c r="A2021" t="s">
        <v>2480</v>
      </c>
      <c r="B2021" s="1">
        <v>44748</v>
      </c>
      <c r="C2021" s="1">
        <v>44752</v>
      </c>
      <c r="D2021" s="1">
        <v>45045</v>
      </c>
      <c r="E2021">
        <v>65997.73</v>
      </c>
      <c r="F2021">
        <f t="shared" si="94"/>
        <v>2022</v>
      </c>
      <c r="G2021">
        <f t="shared" si="95"/>
        <v>2023</v>
      </c>
      <c r="H2021">
        <f t="shared" si="93"/>
        <v>1</v>
      </c>
    </row>
    <row r="2022" spans="1:8" x14ac:dyDescent="0.25">
      <c r="A2022" t="s">
        <v>2287</v>
      </c>
      <c r="B2022" s="1">
        <v>43941</v>
      </c>
      <c r="C2022" s="1">
        <v>43976</v>
      </c>
      <c r="D2022" s="1">
        <v>44594</v>
      </c>
      <c r="E2022">
        <v>-5805.07</v>
      </c>
      <c r="F2022">
        <f t="shared" si="94"/>
        <v>2020</v>
      </c>
      <c r="G2022">
        <f t="shared" si="95"/>
        <v>2022</v>
      </c>
      <c r="H2022">
        <f t="shared" si="93"/>
        <v>2</v>
      </c>
    </row>
    <row r="2023" spans="1:8" x14ac:dyDescent="0.25">
      <c r="A2023" t="s">
        <v>2911</v>
      </c>
      <c r="B2023" s="1">
        <v>44373</v>
      </c>
      <c r="C2023" s="1">
        <v>44404</v>
      </c>
      <c r="D2023" s="1">
        <v>44601</v>
      </c>
      <c r="E2023">
        <v>16694.009999999998</v>
      </c>
      <c r="F2023">
        <f t="shared" si="94"/>
        <v>2021</v>
      </c>
      <c r="G2023">
        <f t="shared" si="95"/>
        <v>2022</v>
      </c>
      <c r="H2023">
        <f t="shared" si="93"/>
        <v>1</v>
      </c>
    </row>
    <row r="2024" spans="1:8" x14ac:dyDescent="0.25">
      <c r="A2024" t="s">
        <v>2875</v>
      </c>
      <c r="B2024" s="1">
        <v>44275</v>
      </c>
      <c r="C2024" s="1">
        <v>44297</v>
      </c>
      <c r="D2024" s="1">
        <v>44608</v>
      </c>
      <c r="E2024">
        <v>69897.87</v>
      </c>
      <c r="F2024">
        <f t="shared" si="94"/>
        <v>2021</v>
      </c>
      <c r="G2024">
        <f t="shared" si="95"/>
        <v>2022</v>
      </c>
      <c r="H2024">
        <f t="shared" si="93"/>
        <v>1</v>
      </c>
    </row>
    <row r="2025" spans="1:8" x14ac:dyDescent="0.25">
      <c r="A2025" t="s">
        <v>2889</v>
      </c>
      <c r="B2025" s="1">
        <v>44675</v>
      </c>
      <c r="D2025" s="1">
        <v>44837</v>
      </c>
      <c r="E2025">
        <v>-11467.93</v>
      </c>
      <c r="F2025">
        <f t="shared" si="94"/>
        <v>2022</v>
      </c>
      <c r="G2025">
        <f t="shared" si="95"/>
        <v>2022</v>
      </c>
      <c r="H2025">
        <f t="shared" si="93"/>
        <v>0</v>
      </c>
    </row>
    <row r="2026" spans="1:8" x14ac:dyDescent="0.25">
      <c r="A2026" t="s">
        <v>2180</v>
      </c>
      <c r="B2026" s="1">
        <v>44488</v>
      </c>
      <c r="C2026" s="1">
        <v>44556</v>
      </c>
      <c r="D2026" s="1">
        <v>44810</v>
      </c>
      <c r="E2026">
        <v>62382.78</v>
      </c>
      <c r="F2026">
        <f t="shared" si="94"/>
        <v>2021</v>
      </c>
      <c r="G2026">
        <f t="shared" si="95"/>
        <v>2022</v>
      </c>
      <c r="H2026">
        <f t="shared" si="93"/>
        <v>1</v>
      </c>
    </row>
    <row r="2027" spans="1:8" x14ac:dyDescent="0.25">
      <c r="A2027" t="s">
        <v>2176</v>
      </c>
      <c r="B2027" s="1">
        <v>43864</v>
      </c>
      <c r="C2027" s="1">
        <v>43914</v>
      </c>
      <c r="D2027" s="1">
        <v>44450</v>
      </c>
      <c r="E2027">
        <v>-14574.46</v>
      </c>
      <c r="F2027">
        <f t="shared" si="94"/>
        <v>2020</v>
      </c>
      <c r="G2027">
        <f t="shared" si="95"/>
        <v>2021</v>
      </c>
      <c r="H2027">
        <f t="shared" si="93"/>
        <v>1</v>
      </c>
    </row>
    <row r="2028" spans="1:8" x14ac:dyDescent="0.25">
      <c r="A2028" t="s">
        <v>2831</v>
      </c>
      <c r="B2028" s="1">
        <v>45127</v>
      </c>
      <c r="C2028" s="1">
        <v>45131</v>
      </c>
      <c r="D2028" s="1">
        <v>45389</v>
      </c>
      <c r="E2028">
        <v>63230.99</v>
      </c>
      <c r="F2028">
        <f t="shared" si="94"/>
        <v>2023</v>
      </c>
      <c r="G2028">
        <f t="shared" si="95"/>
        <v>2024</v>
      </c>
      <c r="H2028">
        <f t="shared" si="93"/>
        <v>1</v>
      </c>
    </row>
    <row r="2029" spans="1:8" x14ac:dyDescent="0.25">
      <c r="A2029" t="s">
        <v>2577</v>
      </c>
      <c r="B2029" s="1">
        <v>43975</v>
      </c>
      <c r="C2029" s="1">
        <v>44060</v>
      </c>
      <c r="D2029" s="1">
        <v>44433</v>
      </c>
      <c r="E2029">
        <v>71147.63</v>
      </c>
      <c r="F2029">
        <f t="shared" si="94"/>
        <v>2020</v>
      </c>
      <c r="G2029">
        <f t="shared" si="95"/>
        <v>2021</v>
      </c>
      <c r="H2029">
        <f t="shared" si="93"/>
        <v>1</v>
      </c>
    </row>
    <row r="2030" spans="1:8" x14ac:dyDescent="0.25">
      <c r="A2030" t="s">
        <v>2709</v>
      </c>
      <c r="B2030" s="1">
        <v>44035</v>
      </c>
      <c r="C2030" s="1">
        <v>44058</v>
      </c>
      <c r="D2030" s="1">
        <v>44125</v>
      </c>
      <c r="E2030">
        <v>-17586.47</v>
      </c>
      <c r="F2030">
        <f t="shared" si="94"/>
        <v>2020</v>
      </c>
      <c r="G2030">
        <f t="shared" si="95"/>
        <v>2020</v>
      </c>
      <c r="H2030">
        <f t="shared" si="93"/>
        <v>0</v>
      </c>
    </row>
    <row r="2031" spans="1:8" x14ac:dyDescent="0.25">
      <c r="A2031" t="s">
        <v>2149</v>
      </c>
      <c r="B2031" s="1">
        <v>44566</v>
      </c>
      <c r="D2031" s="1">
        <v>45027</v>
      </c>
      <c r="E2031">
        <v>60315.89</v>
      </c>
      <c r="F2031">
        <f t="shared" si="94"/>
        <v>2022</v>
      </c>
      <c r="G2031">
        <f t="shared" si="95"/>
        <v>2023</v>
      </c>
      <c r="H2031">
        <f t="shared" si="93"/>
        <v>1</v>
      </c>
    </row>
    <row r="2032" spans="1:8" x14ac:dyDescent="0.25">
      <c r="A2032" t="s">
        <v>2713</v>
      </c>
      <c r="B2032" s="1">
        <v>45050</v>
      </c>
      <c r="C2032" s="1">
        <v>45055</v>
      </c>
      <c r="D2032" s="1">
        <v>45516</v>
      </c>
      <c r="E2032">
        <v>74997.289999999994</v>
      </c>
      <c r="F2032">
        <f t="shared" si="94"/>
        <v>2023</v>
      </c>
      <c r="G2032">
        <f t="shared" si="95"/>
        <v>2024</v>
      </c>
      <c r="H2032">
        <f t="shared" si="93"/>
        <v>1</v>
      </c>
    </row>
    <row r="2033" spans="1:8" x14ac:dyDescent="0.25">
      <c r="A2033" t="s">
        <v>2773</v>
      </c>
      <c r="B2033" s="1">
        <v>44222</v>
      </c>
      <c r="C2033" s="1">
        <v>44260</v>
      </c>
      <c r="D2033" s="1">
        <v>44378</v>
      </c>
      <c r="E2033">
        <v>13005.65</v>
      </c>
      <c r="F2033">
        <f t="shared" si="94"/>
        <v>2021</v>
      </c>
      <c r="G2033">
        <f t="shared" si="95"/>
        <v>2021</v>
      </c>
      <c r="H2033">
        <f t="shared" si="93"/>
        <v>0</v>
      </c>
    </row>
    <row r="2034" spans="1:8" x14ac:dyDescent="0.25">
      <c r="A2034" t="s">
        <v>2744</v>
      </c>
      <c r="B2034" s="1">
        <v>45375</v>
      </c>
      <c r="C2034" s="1">
        <v>45437</v>
      </c>
      <c r="D2034" s="1">
        <v>45618</v>
      </c>
      <c r="E2034">
        <v>-12587.76</v>
      </c>
      <c r="F2034">
        <f t="shared" si="94"/>
        <v>2024</v>
      </c>
      <c r="G2034">
        <f t="shared" si="95"/>
        <v>2024</v>
      </c>
      <c r="H2034">
        <f t="shared" si="93"/>
        <v>0</v>
      </c>
    </row>
    <row r="2035" spans="1:8" x14ac:dyDescent="0.25">
      <c r="A2035" t="s">
        <v>2697</v>
      </c>
      <c r="B2035" s="1">
        <v>43931</v>
      </c>
      <c r="C2035" s="1">
        <v>44016</v>
      </c>
      <c r="D2035" s="1">
        <v>44110</v>
      </c>
      <c r="E2035">
        <v>7198.4</v>
      </c>
      <c r="F2035">
        <f t="shared" si="94"/>
        <v>2020</v>
      </c>
      <c r="G2035">
        <f t="shared" si="95"/>
        <v>2020</v>
      </c>
      <c r="H2035">
        <f t="shared" si="93"/>
        <v>0</v>
      </c>
    </row>
    <row r="2036" spans="1:8" x14ac:dyDescent="0.25">
      <c r="A2036" t="s">
        <v>2292</v>
      </c>
      <c r="B2036" s="1">
        <v>45065</v>
      </c>
      <c r="C2036" s="1">
        <v>45153</v>
      </c>
      <c r="D2036" s="1">
        <v>45524</v>
      </c>
      <c r="E2036">
        <v>63311.6</v>
      </c>
      <c r="F2036">
        <f t="shared" si="94"/>
        <v>2023</v>
      </c>
      <c r="G2036">
        <f t="shared" si="95"/>
        <v>2024</v>
      </c>
      <c r="H2036">
        <f t="shared" si="93"/>
        <v>1</v>
      </c>
    </row>
    <row r="2037" spans="1:8" x14ac:dyDescent="0.25">
      <c r="A2037" t="s">
        <v>2870</v>
      </c>
      <c r="B2037" s="1">
        <v>45472</v>
      </c>
      <c r="D2037" s="1">
        <v>45706</v>
      </c>
      <c r="E2037">
        <v>55024.15</v>
      </c>
      <c r="F2037">
        <f t="shared" si="94"/>
        <v>2024</v>
      </c>
      <c r="G2037">
        <f t="shared" si="95"/>
        <v>2025</v>
      </c>
      <c r="H2037">
        <f t="shared" si="93"/>
        <v>1</v>
      </c>
    </row>
    <row r="2038" spans="1:8" x14ac:dyDescent="0.25">
      <c r="A2038" t="s">
        <v>2817</v>
      </c>
      <c r="B2038" s="1">
        <v>44270</v>
      </c>
      <c r="C2038" s="1">
        <v>44351</v>
      </c>
      <c r="D2038" s="1">
        <v>44381</v>
      </c>
      <c r="E2038">
        <v>31104.58</v>
      </c>
      <c r="F2038">
        <f t="shared" si="94"/>
        <v>2021</v>
      </c>
      <c r="G2038">
        <f t="shared" si="95"/>
        <v>2021</v>
      </c>
      <c r="H2038">
        <f t="shared" si="93"/>
        <v>0</v>
      </c>
    </row>
    <row r="2039" spans="1:8" x14ac:dyDescent="0.25">
      <c r="A2039" t="s">
        <v>2245</v>
      </c>
      <c r="B2039" s="1">
        <v>44506</v>
      </c>
      <c r="C2039" s="1">
        <v>44519</v>
      </c>
      <c r="D2039" s="1">
        <v>44712</v>
      </c>
      <c r="E2039">
        <v>49421.15</v>
      </c>
      <c r="F2039">
        <f t="shared" si="94"/>
        <v>2021</v>
      </c>
      <c r="G2039">
        <f t="shared" si="95"/>
        <v>2022</v>
      </c>
      <c r="H2039">
        <f t="shared" si="93"/>
        <v>1</v>
      </c>
    </row>
    <row r="2040" spans="1:8" x14ac:dyDescent="0.25">
      <c r="A2040" t="s">
        <v>2192</v>
      </c>
      <c r="B2040" s="1">
        <v>43946</v>
      </c>
      <c r="C2040" s="1">
        <v>44019</v>
      </c>
      <c r="D2040" s="1">
        <v>44348</v>
      </c>
      <c r="E2040">
        <v>-20570.259999999998</v>
      </c>
      <c r="F2040">
        <f t="shared" si="94"/>
        <v>2020</v>
      </c>
      <c r="G2040">
        <f t="shared" si="95"/>
        <v>2021</v>
      </c>
      <c r="H2040">
        <f t="shared" si="93"/>
        <v>1</v>
      </c>
    </row>
    <row r="2041" spans="1:8" x14ac:dyDescent="0.25">
      <c r="A2041" t="s">
        <v>2304</v>
      </c>
      <c r="B2041" s="1">
        <v>44756</v>
      </c>
      <c r="C2041" s="1">
        <v>44829</v>
      </c>
      <c r="D2041" s="1">
        <v>45164</v>
      </c>
      <c r="E2041">
        <v>-6098.94</v>
      </c>
      <c r="F2041">
        <f t="shared" si="94"/>
        <v>2022</v>
      </c>
      <c r="G2041">
        <f t="shared" si="95"/>
        <v>2023</v>
      </c>
      <c r="H2041">
        <f t="shared" si="93"/>
        <v>1</v>
      </c>
    </row>
    <row r="2042" spans="1:8" x14ac:dyDescent="0.25">
      <c r="A2042" t="s">
        <v>2457</v>
      </c>
      <c r="B2042" s="1">
        <v>44210</v>
      </c>
      <c r="C2042" s="1">
        <v>44299</v>
      </c>
      <c r="D2042" s="1">
        <v>44543</v>
      </c>
      <c r="E2042">
        <v>59423.71</v>
      </c>
      <c r="F2042">
        <f t="shared" si="94"/>
        <v>2021</v>
      </c>
      <c r="G2042">
        <f t="shared" si="95"/>
        <v>2021</v>
      </c>
      <c r="H2042">
        <f t="shared" si="93"/>
        <v>0</v>
      </c>
    </row>
    <row r="2043" spans="1:8" x14ac:dyDescent="0.25">
      <c r="A2043" t="s">
        <v>2749</v>
      </c>
      <c r="B2043" s="1">
        <v>45116</v>
      </c>
      <c r="C2043" s="1">
        <v>45181</v>
      </c>
      <c r="D2043" s="1">
        <v>45321</v>
      </c>
      <c r="E2043">
        <v>-9411.81</v>
      </c>
      <c r="F2043">
        <f t="shared" si="94"/>
        <v>2023</v>
      </c>
      <c r="G2043">
        <f t="shared" si="95"/>
        <v>2024</v>
      </c>
      <c r="H2043">
        <f t="shared" si="93"/>
        <v>1</v>
      </c>
    </row>
    <row r="2044" spans="1:8" x14ac:dyDescent="0.25">
      <c r="A2044" t="s">
        <v>2472</v>
      </c>
      <c r="B2044" s="1">
        <v>43903</v>
      </c>
      <c r="C2044" s="1">
        <v>43983</v>
      </c>
      <c r="D2044" s="1">
        <v>44137</v>
      </c>
      <c r="E2044">
        <v>-22172.41</v>
      </c>
      <c r="F2044">
        <f t="shared" si="94"/>
        <v>2020</v>
      </c>
      <c r="G2044">
        <f t="shared" si="95"/>
        <v>2020</v>
      </c>
      <c r="H2044">
        <f t="shared" si="93"/>
        <v>0</v>
      </c>
    </row>
    <row r="2045" spans="1:8" x14ac:dyDescent="0.25">
      <c r="A2045" t="s">
        <v>2875</v>
      </c>
      <c r="B2045" s="1">
        <v>44275</v>
      </c>
      <c r="C2045" s="1">
        <v>44297</v>
      </c>
      <c r="D2045" s="1">
        <v>44434</v>
      </c>
      <c r="E2045">
        <v>2702328.33</v>
      </c>
      <c r="F2045">
        <f t="shared" si="94"/>
        <v>2021</v>
      </c>
      <c r="G2045">
        <f t="shared" si="95"/>
        <v>2021</v>
      </c>
      <c r="H2045">
        <f t="shared" si="93"/>
        <v>0</v>
      </c>
    </row>
    <row r="2046" spans="1:8" x14ac:dyDescent="0.25">
      <c r="A2046" t="s">
        <v>2419</v>
      </c>
      <c r="B2046" s="1">
        <v>44186</v>
      </c>
      <c r="C2046" s="1">
        <v>44254</v>
      </c>
      <c r="D2046" s="1">
        <v>44297</v>
      </c>
      <c r="E2046">
        <v>55006.07</v>
      </c>
      <c r="F2046">
        <f t="shared" si="94"/>
        <v>2020</v>
      </c>
      <c r="G2046">
        <f t="shared" si="95"/>
        <v>2021</v>
      </c>
      <c r="H2046">
        <f t="shared" si="93"/>
        <v>1</v>
      </c>
    </row>
    <row r="2047" spans="1:8" x14ac:dyDescent="0.25">
      <c r="A2047" t="s">
        <v>2387</v>
      </c>
      <c r="B2047" s="1">
        <v>43854</v>
      </c>
      <c r="C2047" s="1">
        <v>43941</v>
      </c>
      <c r="D2047" s="1">
        <v>44089</v>
      </c>
      <c r="E2047">
        <v>6410.71</v>
      </c>
      <c r="F2047">
        <f t="shared" si="94"/>
        <v>2020</v>
      </c>
      <c r="G2047">
        <f t="shared" si="95"/>
        <v>2020</v>
      </c>
      <c r="H2047">
        <f t="shared" si="93"/>
        <v>0</v>
      </c>
    </row>
    <row r="2048" spans="1:8" x14ac:dyDescent="0.25">
      <c r="A2048" t="s">
        <v>2790</v>
      </c>
      <c r="B2048" s="1">
        <v>45597</v>
      </c>
      <c r="C2048" s="1">
        <v>45678</v>
      </c>
      <c r="D2048" s="1">
        <v>45794</v>
      </c>
      <c r="E2048">
        <v>31502.94</v>
      </c>
      <c r="F2048">
        <f t="shared" si="94"/>
        <v>2024</v>
      </c>
      <c r="G2048">
        <f t="shared" si="95"/>
        <v>2025</v>
      </c>
      <c r="H2048">
        <f t="shared" si="93"/>
        <v>1</v>
      </c>
    </row>
    <row r="2049" spans="1:8" x14ac:dyDescent="0.25">
      <c r="A2049" t="s">
        <v>2912</v>
      </c>
      <c r="B2049" s="1">
        <v>45191</v>
      </c>
      <c r="C2049" s="1">
        <v>45224</v>
      </c>
      <c r="D2049" s="1">
        <v>45331</v>
      </c>
      <c r="E2049">
        <v>59579.3</v>
      </c>
      <c r="F2049">
        <f t="shared" si="94"/>
        <v>2023</v>
      </c>
      <c r="G2049">
        <f t="shared" si="95"/>
        <v>2024</v>
      </c>
      <c r="H2049">
        <f t="shared" si="93"/>
        <v>1</v>
      </c>
    </row>
    <row r="2050" spans="1:8" x14ac:dyDescent="0.25">
      <c r="A2050" t="s">
        <v>2771</v>
      </c>
      <c r="B2050" s="1">
        <v>44020</v>
      </c>
      <c r="C2050" s="1">
        <v>44085</v>
      </c>
      <c r="D2050" s="1">
        <v>44518</v>
      </c>
      <c r="E2050">
        <v>64061.13</v>
      </c>
      <c r="F2050">
        <f t="shared" si="94"/>
        <v>2020</v>
      </c>
      <c r="G2050">
        <f t="shared" si="95"/>
        <v>2021</v>
      </c>
      <c r="H2050">
        <f t="shared" ref="H2050:H2113" si="96">MAX(0,G2050-F2050)</f>
        <v>1</v>
      </c>
    </row>
    <row r="2051" spans="1:8" x14ac:dyDescent="0.25">
      <c r="A2051" t="s">
        <v>2365</v>
      </c>
      <c r="B2051" s="1">
        <v>44376</v>
      </c>
      <c r="C2051" s="1">
        <v>44398</v>
      </c>
      <c r="D2051" s="1">
        <v>44552</v>
      </c>
      <c r="E2051">
        <v>4616.0600000000004</v>
      </c>
      <c r="F2051">
        <f t="shared" ref="F2051:F2114" si="97">YEAR(B2051)</f>
        <v>2021</v>
      </c>
      <c r="G2051">
        <f t="shared" ref="G2051:G2114" si="98">YEAR(D2051)</f>
        <v>2021</v>
      </c>
      <c r="H2051">
        <f t="shared" si="96"/>
        <v>0</v>
      </c>
    </row>
    <row r="2052" spans="1:8" x14ac:dyDescent="0.25">
      <c r="A2052" t="s">
        <v>2475</v>
      </c>
      <c r="B2052" s="1">
        <v>44103</v>
      </c>
      <c r="C2052" s="1">
        <v>44128</v>
      </c>
      <c r="D2052" s="1">
        <v>44442</v>
      </c>
      <c r="E2052">
        <v>50902.25</v>
      </c>
      <c r="F2052">
        <f t="shared" si="97"/>
        <v>2020</v>
      </c>
      <c r="G2052">
        <f t="shared" si="98"/>
        <v>2021</v>
      </c>
      <c r="H2052">
        <f t="shared" si="96"/>
        <v>1</v>
      </c>
    </row>
    <row r="2053" spans="1:8" x14ac:dyDescent="0.25">
      <c r="A2053" t="s">
        <v>2200</v>
      </c>
      <c r="B2053" s="1">
        <v>44445</v>
      </c>
      <c r="C2053" s="1">
        <v>44487</v>
      </c>
      <c r="D2053" s="1">
        <v>44581</v>
      </c>
      <c r="E2053">
        <v>48250.2</v>
      </c>
      <c r="F2053">
        <f t="shared" si="97"/>
        <v>2021</v>
      </c>
      <c r="G2053">
        <f t="shared" si="98"/>
        <v>2022</v>
      </c>
      <c r="H2053">
        <f t="shared" si="96"/>
        <v>1</v>
      </c>
    </row>
    <row r="2054" spans="1:8" x14ac:dyDescent="0.25">
      <c r="A2054" t="s">
        <v>2805</v>
      </c>
      <c r="B2054" s="1">
        <v>44787</v>
      </c>
      <c r="C2054" s="1">
        <v>44829</v>
      </c>
      <c r="D2054" s="1">
        <v>45008</v>
      </c>
      <c r="E2054">
        <v>46263.21</v>
      </c>
      <c r="F2054">
        <f t="shared" si="97"/>
        <v>2022</v>
      </c>
      <c r="G2054">
        <f t="shared" si="98"/>
        <v>2023</v>
      </c>
      <c r="H2054">
        <f t="shared" si="96"/>
        <v>1</v>
      </c>
    </row>
    <row r="2055" spans="1:8" x14ac:dyDescent="0.25">
      <c r="A2055" t="s">
        <v>2697</v>
      </c>
      <c r="B2055" s="1">
        <v>43931</v>
      </c>
      <c r="C2055" s="1">
        <v>44016</v>
      </c>
      <c r="D2055" s="1">
        <v>44322</v>
      </c>
      <c r="E2055">
        <v>37107.07</v>
      </c>
      <c r="F2055">
        <f t="shared" si="97"/>
        <v>2020</v>
      </c>
      <c r="G2055">
        <f t="shared" si="98"/>
        <v>2021</v>
      </c>
      <c r="H2055">
        <f t="shared" si="96"/>
        <v>1</v>
      </c>
    </row>
    <row r="2056" spans="1:8" x14ac:dyDescent="0.25">
      <c r="A2056" t="s">
        <v>2602</v>
      </c>
      <c r="B2056" s="1">
        <v>44736</v>
      </c>
      <c r="C2056" s="1">
        <v>44793</v>
      </c>
      <c r="D2056" s="1">
        <v>44926</v>
      </c>
      <c r="E2056">
        <v>15845.77</v>
      </c>
      <c r="F2056">
        <f t="shared" si="97"/>
        <v>2022</v>
      </c>
      <c r="G2056">
        <f t="shared" si="98"/>
        <v>2022</v>
      </c>
      <c r="H2056">
        <f t="shared" si="96"/>
        <v>0</v>
      </c>
    </row>
    <row r="2057" spans="1:8" x14ac:dyDescent="0.25">
      <c r="A2057" t="s">
        <v>2782</v>
      </c>
      <c r="B2057" s="1">
        <v>43903</v>
      </c>
      <c r="C2057" s="1">
        <v>43921</v>
      </c>
      <c r="D2057" s="1">
        <v>44272</v>
      </c>
      <c r="E2057">
        <v>47193.29</v>
      </c>
      <c r="F2057">
        <f t="shared" si="97"/>
        <v>2020</v>
      </c>
      <c r="G2057">
        <f t="shared" si="98"/>
        <v>2021</v>
      </c>
      <c r="H2057">
        <f t="shared" si="96"/>
        <v>1</v>
      </c>
    </row>
    <row r="2058" spans="1:8" x14ac:dyDescent="0.25">
      <c r="A2058" t="s">
        <v>2399</v>
      </c>
      <c r="B2058" s="1">
        <v>44162</v>
      </c>
      <c r="C2058" s="1">
        <v>44246</v>
      </c>
      <c r="D2058" s="1">
        <v>44759</v>
      </c>
      <c r="E2058">
        <v>-13288.74</v>
      </c>
      <c r="F2058">
        <f t="shared" si="97"/>
        <v>2020</v>
      </c>
      <c r="G2058">
        <f t="shared" si="98"/>
        <v>2022</v>
      </c>
      <c r="H2058">
        <f t="shared" si="96"/>
        <v>2</v>
      </c>
    </row>
    <row r="2059" spans="1:8" x14ac:dyDescent="0.25">
      <c r="A2059" t="s">
        <v>2292</v>
      </c>
      <c r="B2059" s="1">
        <v>45065</v>
      </c>
      <c r="C2059" s="1">
        <v>45153</v>
      </c>
      <c r="D2059" s="1">
        <v>45664</v>
      </c>
      <c r="E2059">
        <v>-23496.17</v>
      </c>
      <c r="F2059">
        <f t="shared" si="97"/>
        <v>2023</v>
      </c>
      <c r="G2059">
        <f t="shared" si="98"/>
        <v>2025</v>
      </c>
      <c r="H2059">
        <f t="shared" si="96"/>
        <v>2</v>
      </c>
    </row>
    <row r="2060" spans="1:8" x14ac:dyDescent="0.25">
      <c r="A2060" t="s">
        <v>2432</v>
      </c>
      <c r="B2060" s="1">
        <v>44040</v>
      </c>
      <c r="C2060" s="1">
        <v>44048</v>
      </c>
      <c r="D2060" s="1">
        <v>44184</v>
      </c>
      <c r="E2060">
        <v>-12173.7</v>
      </c>
      <c r="F2060">
        <f t="shared" si="97"/>
        <v>2020</v>
      </c>
      <c r="G2060">
        <f t="shared" si="98"/>
        <v>2020</v>
      </c>
      <c r="H2060">
        <f t="shared" si="96"/>
        <v>0</v>
      </c>
    </row>
    <row r="2061" spans="1:8" x14ac:dyDescent="0.25">
      <c r="A2061" t="s">
        <v>2301</v>
      </c>
      <c r="B2061" s="1">
        <v>45095</v>
      </c>
      <c r="C2061" s="1">
        <v>45144</v>
      </c>
      <c r="D2061" s="1">
        <v>45413</v>
      </c>
      <c r="E2061">
        <v>42090.53</v>
      </c>
      <c r="F2061">
        <f t="shared" si="97"/>
        <v>2023</v>
      </c>
      <c r="G2061">
        <f t="shared" si="98"/>
        <v>2024</v>
      </c>
      <c r="H2061">
        <f t="shared" si="96"/>
        <v>1</v>
      </c>
    </row>
    <row r="2062" spans="1:8" x14ac:dyDescent="0.25">
      <c r="A2062" t="s">
        <v>2571</v>
      </c>
      <c r="B2062" s="1">
        <v>45462</v>
      </c>
      <c r="C2062" s="1">
        <v>45479</v>
      </c>
      <c r="D2062" s="1">
        <v>45538</v>
      </c>
      <c r="E2062">
        <v>-12473.59</v>
      </c>
      <c r="F2062">
        <f t="shared" si="97"/>
        <v>2024</v>
      </c>
      <c r="G2062">
        <f t="shared" si="98"/>
        <v>2024</v>
      </c>
      <c r="H2062">
        <f t="shared" si="96"/>
        <v>0</v>
      </c>
    </row>
    <row r="2063" spans="1:8" x14ac:dyDescent="0.25">
      <c r="A2063" t="s">
        <v>2211</v>
      </c>
      <c r="B2063" s="1">
        <v>43844</v>
      </c>
      <c r="C2063" s="1">
        <v>43926</v>
      </c>
      <c r="D2063" s="1">
        <v>44142</v>
      </c>
      <c r="E2063">
        <v>57686.34</v>
      </c>
      <c r="F2063">
        <f t="shared" si="97"/>
        <v>2020</v>
      </c>
      <c r="G2063">
        <f t="shared" si="98"/>
        <v>2020</v>
      </c>
      <c r="H2063">
        <f t="shared" si="96"/>
        <v>0</v>
      </c>
    </row>
    <row r="2064" spans="1:8" x14ac:dyDescent="0.25">
      <c r="A2064" t="s">
        <v>2760</v>
      </c>
      <c r="B2064" s="1">
        <v>45087</v>
      </c>
      <c r="C2064" s="1">
        <v>45172</v>
      </c>
      <c r="D2064" s="1">
        <v>45224</v>
      </c>
      <c r="E2064">
        <v>16929.89</v>
      </c>
      <c r="F2064">
        <f t="shared" si="97"/>
        <v>2023</v>
      </c>
      <c r="G2064">
        <f t="shared" si="98"/>
        <v>2023</v>
      </c>
      <c r="H2064">
        <f t="shared" si="96"/>
        <v>0</v>
      </c>
    </row>
    <row r="2065" spans="1:8" x14ac:dyDescent="0.25">
      <c r="A2065" t="s">
        <v>2256</v>
      </c>
      <c r="B2065" s="1">
        <v>44198</v>
      </c>
      <c r="C2065" s="1">
        <v>44246</v>
      </c>
      <c r="D2065" s="1">
        <v>44620</v>
      </c>
      <c r="E2065">
        <v>45243.95</v>
      </c>
      <c r="F2065">
        <f t="shared" si="97"/>
        <v>2021</v>
      </c>
      <c r="G2065">
        <f t="shared" si="98"/>
        <v>2022</v>
      </c>
      <c r="H2065">
        <f t="shared" si="96"/>
        <v>1</v>
      </c>
    </row>
    <row r="2066" spans="1:8" x14ac:dyDescent="0.25">
      <c r="A2066" t="s">
        <v>2256</v>
      </c>
      <c r="B2066" s="1">
        <v>44198</v>
      </c>
      <c r="C2066" s="1">
        <v>44246</v>
      </c>
      <c r="D2066" s="1">
        <v>44514</v>
      </c>
      <c r="E2066">
        <v>-3593.11</v>
      </c>
      <c r="F2066">
        <f t="shared" si="97"/>
        <v>2021</v>
      </c>
      <c r="G2066">
        <f t="shared" si="98"/>
        <v>2021</v>
      </c>
      <c r="H2066">
        <f t="shared" si="96"/>
        <v>0</v>
      </c>
    </row>
    <row r="2067" spans="1:8" x14ac:dyDescent="0.25">
      <c r="A2067" t="s">
        <v>2738</v>
      </c>
      <c r="B2067" s="1">
        <v>43853</v>
      </c>
      <c r="C2067" s="1">
        <v>43855</v>
      </c>
      <c r="D2067" s="1">
        <v>44020</v>
      </c>
      <c r="E2067">
        <v>20288.240000000002</v>
      </c>
      <c r="F2067">
        <f t="shared" si="97"/>
        <v>2020</v>
      </c>
      <c r="G2067">
        <f t="shared" si="98"/>
        <v>2020</v>
      </c>
      <c r="H2067">
        <f t="shared" si="96"/>
        <v>0</v>
      </c>
    </row>
    <row r="2068" spans="1:8" x14ac:dyDescent="0.25">
      <c r="A2068" t="s">
        <v>2578</v>
      </c>
      <c r="B2068" s="1">
        <v>44191</v>
      </c>
      <c r="C2068" s="1">
        <v>44222</v>
      </c>
      <c r="D2068" s="1">
        <v>44602</v>
      </c>
      <c r="E2068">
        <v>79985.679999999993</v>
      </c>
      <c r="F2068">
        <f t="shared" si="97"/>
        <v>2020</v>
      </c>
      <c r="G2068">
        <f t="shared" si="98"/>
        <v>2022</v>
      </c>
      <c r="H2068">
        <f t="shared" si="96"/>
        <v>2</v>
      </c>
    </row>
    <row r="2069" spans="1:8" x14ac:dyDescent="0.25">
      <c r="A2069" t="s">
        <v>2913</v>
      </c>
      <c r="B2069" s="1">
        <v>45435</v>
      </c>
      <c r="C2069" s="1">
        <v>45467</v>
      </c>
      <c r="D2069" s="1">
        <v>45638</v>
      </c>
      <c r="E2069">
        <v>34073.519999999997</v>
      </c>
      <c r="F2069">
        <f t="shared" si="97"/>
        <v>2024</v>
      </c>
      <c r="G2069">
        <f t="shared" si="98"/>
        <v>2024</v>
      </c>
      <c r="H2069">
        <f t="shared" si="96"/>
        <v>0</v>
      </c>
    </row>
    <row r="2070" spans="1:8" x14ac:dyDescent="0.25">
      <c r="A2070" t="s">
        <v>2914</v>
      </c>
      <c r="B2070" s="1">
        <v>44749</v>
      </c>
      <c r="C2070" s="1">
        <v>44753</v>
      </c>
      <c r="D2070" s="1">
        <v>44806</v>
      </c>
      <c r="E2070">
        <v>-14358.49</v>
      </c>
      <c r="F2070">
        <f t="shared" si="97"/>
        <v>2022</v>
      </c>
      <c r="G2070">
        <f t="shared" si="98"/>
        <v>2022</v>
      </c>
      <c r="H2070">
        <f t="shared" si="96"/>
        <v>0</v>
      </c>
    </row>
    <row r="2071" spans="1:8" x14ac:dyDescent="0.25">
      <c r="A2071" t="s">
        <v>2269</v>
      </c>
      <c r="B2071" s="1">
        <v>45205</v>
      </c>
      <c r="C2071" s="1">
        <v>45244</v>
      </c>
      <c r="D2071" s="1">
        <v>45619</v>
      </c>
      <c r="E2071">
        <v>22718.400000000001</v>
      </c>
      <c r="F2071">
        <f t="shared" si="97"/>
        <v>2023</v>
      </c>
      <c r="G2071">
        <f t="shared" si="98"/>
        <v>2024</v>
      </c>
      <c r="H2071">
        <f t="shared" si="96"/>
        <v>1</v>
      </c>
    </row>
    <row r="2072" spans="1:8" x14ac:dyDescent="0.25">
      <c r="A2072" t="s">
        <v>2808</v>
      </c>
      <c r="B2072" s="1">
        <v>43965</v>
      </c>
      <c r="C2072" s="1">
        <v>44051</v>
      </c>
      <c r="D2072" s="1">
        <v>44719</v>
      </c>
      <c r="E2072">
        <v>31233.02</v>
      </c>
      <c r="F2072">
        <f t="shared" si="97"/>
        <v>2020</v>
      </c>
      <c r="G2072">
        <f t="shared" si="98"/>
        <v>2022</v>
      </c>
      <c r="H2072">
        <f t="shared" si="96"/>
        <v>2</v>
      </c>
    </row>
    <row r="2073" spans="1:8" x14ac:dyDescent="0.25">
      <c r="A2073" t="s">
        <v>2534</v>
      </c>
      <c r="B2073" s="1">
        <v>44091</v>
      </c>
      <c r="C2073" s="1">
        <v>44151</v>
      </c>
      <c r="D2073" s="1">
        <v>44308</v>
      </c>
      <c r="E2073">
        <v>53844.09</v>
      </c>
      <c r="F2073">
        <f t="shared" si="97"/>
        <v>2020</v>
      </c>
      <c r="G2073">
        <f t="shared" si="98"/>
        <v>2021</v>
      </c>
      <c r="H2073">
        <f t="shared" si="96"/>
        <v>1</v>
      </c>
    </row>
    <row r="2074" spans="1:8" x14ac:dyDescent="0.25">
      <c r="A2074" t="s">
        <v>2915</v>
      </c>
      <c r="B2074" s="1">
        <v>44095</v>
      </c>
      <c r="C2074" s="1">
        <v>44097</v>
      </c>
      <c r="D2074" s="1">
        <v>44265</v>
      </c>
      <c r="E2074">
        <v>8226.0400000000009</v>
      </c>
      <c r="F2074">
        <f t="shared" si="97"/>
        <v>2020</v>
      </c>
      <c r="G2074">
        <f t="shared" si="98"/>
        <v>2021</v>
      </c>
      <c r="H2074">
        <f t="shared" si="96"/>
        <v>1</v>
      </c>
    </row>
    <row r="2075" spans="1:8" x14ac:dyDescent="0.25">
      <c r="A2075" t="s">
        <v>2500</v>
      </c>
      <c r="B2075" s="1">
        <v>44614</v>
      </c>
      <c r="C2075" s="1">
        <v>44628</v>
      </c>
      <c r="D2075" s="1">
        <v>44817</v>
      </c>
      <c r="E2075">
        <v>19601.759999999998</v>
      </c>
      <c r="F2075">
        <f t="shared" si="97"/>
        <v>2022</v>
      </c>
      <c r="G2075">
        <f t="shared" si="98"/>
        <v>2022</v>
      </c>
      <c r="H2075">
        <f t="shared" si="96"/>
        <v>0</v>
      </c>
    </row>
    <row r="2076" spans="1:8" x14ac:dyDescent="0.25">
      <c r="A2076" t="s">
        <v>2170</v>
      </c>
      <c r="B2076" s="1">
        <v>43970</v>
      </c>
      <c r="C2076" s="1">
        <v>43986</v>
      </c>
      <c r="D2076" s="1">
        <v>44176</v>
      </c>
      <c r="E2076">
        <v>1342831.87</v>
      </c>
      <c r="F2076">
        <f t="shared" si="97"/>
        <v>2020</v>
      </c>
      <c r="G2076">
        <f t="shared" si="98"/>
        <v>2020</v>
      </c>
      <c r="H2076">
        <f t="shared" si="96"/>
        <v>0</v>
      </c>
    </row>
    <row r="2077" spans="1:8" x14ac:dyDescent="0.25">
      <c r="A2077" t="s">
        <v>2528</v>
      </c>
      <c r="B2077" s="1">
        <v>44741</v>
      </c>
      <c r="C2077" s="1">
        <v>44774</v>
      </c>
      <c r="D2077" s="1">
        <v>45119</v>
      </c>
      <c r="E2077">
        <v>-18212.47</v>
      </c>
      <c r="F2077">
        <f t="shared" si="97"/>
        <v>2022</v>
      </c>
      <c r="G2077">
        <f t="shared" si="98"/>
        <v>2023</v>
      </c>
      <c r="H2077">
        <f t="shared" si="96"/>
        <v>1</v>
      </c>
    </row>
    <row r="2078" spans="1:8" x14ac:dyDescent="0.25">
      <c r="A2078" t="s">
        <v>2795</v>
      </c>
      <c r="B2078" s="1">
        <v>45579</v>
      </c>
      <c r="C2078" s="1">
        <v>45587</v>
      </c>
      <c r="D2078" s="1">
        <v>45757</v>
      </c>
      <c r="E2078">
        <v>29343.46</v>
      </c>
      <c r="F2078">
        <f t="shared" si="97"/>
        <v>2024</v>
      </c>
      <c r="G2078">
        <f t="shared" si="98"/>
        <v>2025</v>
      </c>
      <c r="H2078">
        <f t="shared" si="96"/>
        <v>1</v>
      </c>
    </row>
    <row r="2079" spans="1:8" x14ac:dyDescent="0.25">
      <c r="A2079" t="s">
        <v>2517</v>
      </c>
      <c r="B2079" s="1">
        <v>44628</v>
      </c>
      <c r="C2079" s="1">
        <v>44691</v>
      </c>
      <c r="D2079" s="1">
        <v>45037</v>
      </c>
      <c r="E2079">
        <v>39672.26</v>
      </c>
      <c r="F2079">
        <f t="shared" si="97"/>
        <v>2022</v>
      </c>
      <c r="G2079">
        <f t="shared" si="98"/>
        <v>2023</v>
      </c>
      <c r="H2079">
        <f t="shared" si="96"/>
        <v>1</v>
      </c>
    </row>
    <row r="2080" spans="1:8" x14ac:dyDescent="0.25">
      <c r="A2080" t="s">
        <v>2237</v>
      </c>
      <c r="B2080" s="1">
        <v>45411</v>
      </c>
      <c r="C2080" s="1">
        <v>45414</v>
      </c>
      <c r="D2080" s="1">
        <v>45530</v>
      </c>
      <c r="E2080">
        <v>80389.34</v>
      </c>
      <c r="F2080">
        <f t="shared" si="97"/>
        <v>2024</v>
      </c>
      <c r="G2080">
        <f t="shared" si="98"/>
        <v>2024</v>
      </c>
      <c r="H2080">
        <f t="shared" si="96"/>
        <v>0</v>
      </c>
    </row>
    <row r="2081" spans="1:8" x14ac:dyDescent="0.25">
      <c r="A2081" t="s">
        <v>2302</v>
      </c>
      <c r="B2081" s="1">
        <v>44283</v>
      </c>
      <c r="C2081" s="1">
        <v>44301</v>
      </c>
      <c r="D2081" s="1">
        <v>44470</v>
      </c>
      <c r="E2081">
        <v>27393.06</v>
      </c>
      <c r="F2081">
        <f t="shared" si="97"/>
        <v>2021</v>
      </c>
      <c r="G2081">
        <f t="shared" si="98"/>
        <v>2021</v>
      </c>
      <c r="H2081">
        <f t="shared" si="96"/>
        <v>0</v>
      </c>
    </row>
    <row r="2082" spans="1:8" x14ac:dyDescent="0.25">
      <c r="A2082" t="s">
        <v>2916</v>
      </c>
      <c r="B2082" s="1">
        <v>45073</v>
      </c>
      <c r="C2082" s="1">
        <v>45131</v>
      </c>
      <c r="D2082" s="1">
        <v>45189</v>
      </c>
      <c r="E2082">
        <v>61773.29</v>
      </c>
      <c r="F2082">
        <f t="shared" si="97"/>
        <v>2023</v>
      </c>
      <c r="G2082">
        <f t="shared" si="98"/>
        <v>2023</v>
      </c>
      <c r="H2082">
        <f t="shared" si="96"/>
        <v>0</v>
      </c>
    </row>
    <row r="2083" spans="1:8" x14ac:dyDescent="0.25">
      <c r="A2083" t="s">
        <v>2200</v>
      </c>
      <c r="B2083" s="1">
        <v>44445</v>
      </c>
      <c r="C2083" s="1">
        <v>44487</v>
      </c>
      <c r="D2083" s="1">
        <v>44878</v>
      </c>
      <c r="E2083">
        <v>46551.18</v>
      </c>
      <c r="F2083">
        <f t="shared" si="97"/>
        <v>2021</v>
      </c>
      <c r="G2083">
        <f t="shared" si="98"/>
        <v>2022</v>
      </c>
      <c r="H2083">
        <f t="shared" si="96"/>
        <v>1</v>
      </c>
    </row>
    <row r="2084" spans="1:8" x14ac:dyDescent="0.25">
      <c r="A2084" t="s">
        <v>2210</v>
      </c>
      <c r="B2084" s="1">
        <v>44510</v>
      </c>
      <c r="C2084" s="1">
        <v>44590</v>
      </c>
      <c r="D2084" s="1">
        <v>44712</v>
      </c>
      <c r="E2084">
        <v>51260.7</v>
      </c>
      <c r="F2084">
        <f t="shared" si="97"/>
        <v>2021</v>
      </c>
      <c r="G2084">
        <f t="shared" si="98"/>
        <v>2022</v>
      </c>
      <c r="H2084">
        <f t="shared" si="96"/>
        <v>1</v>
      </c>
    </row>
    <row r="2085" spans="1:8" x14ac:dyDescent="0.25">
      <c r="A2085" t="s">
        <v>2856</v>
      </c>
      <c r="B2085" s="1">
        <v>45518</v>
      </c>
      <c r="C2085" s="1">
        <v>45528</v>
      </c>
      <c r="D2085" s="1">
        <v>45640</v>
      </c>
      <c r="E2085">
        <v>69316.77</v>
      </c>
      <c r="F2085">
        <f t="shared" si="97"/>
        <v>2024</v>
      </c>
      <c r="G2085">
        <f t="shared" si="98"/>
        <v>2024</v>
      </c>
      <c r="H2085">
        <f t="shared" si="96"/>
        <v>0</v>
      </c>
    </row>
    <row r="2086" spans="1:8" x14ac:dyDescent="0.25">
      <c r="A2086" t="s">
        <v>2917</v>
      </c>
      <c r="B2086" s="1">
        <v>44328</v>
      </c>
      <c r="C2086" s="1">
        <v>44414</v>
      </c>
      <c r="D2086" s="1">
        <v>44522</v>
      </c>
      <c r="E2086">
        <v>73924.800000000003</v>
      </c>
      <c r="F2086">
        <f t="shared" si="97"/>
        <v>2021</v>
      </c>
      <c r="G2086">
        <f t="shared" si="98"/>
        <v>2021</v>
      </c>
      <c r="H2086">
        <f t="shared" si="96"/>
        <v>0</v>
      </c>
    </row>
    <row r="2087" spans="1:8" x14ac:dyDescent="0.25">
      <c r="A2087" t="s">
        <v>2577</v>
      </c>
      <c r="B2087" s="1">
        <v>43975</v>
      </c>
      <c r="C2087" s="1">
        <v>44060</v>
      </c>
      <c r="D2087" s="1">
        <v>43932</v>
      </c>
      <c r="E2087">
        <v>41963.93</v>
      </c>
      <c r="F2087">
        <f t="shared" si="97"/>
        <v>2020</v>
      </c>
      <c r="G2087">
        <f t="shared" si="98"/>
        <v>2020</v>
      </c>
      <c r="H2087">
        <f t="shared" si="96"/>
        <v>0</v>
      </c>
    </row>
    <row r="2088" spans="1:8" x14ac:dyDescent="0.25">
      <c r="A2088" t="s">
        <v>2734</v>
      </c>
      <c r="B2088" s="1">
        <v>44489</v>
      </c>
      <c r="C2088" s="1">
        <v>44528</v>
      </c>
      <c r="D2088" s="1">
        <v>44793</v>
      </c>
      <c r="E2088">
        <v>31567.95</v>
      </c>
      <c r="F2088">
        <f t="shared" si="97"/>
        <v>2021</v>
      </c>
      <c r="G2088">
        <f t="shared" si="98"/>
        <v>2022</v>
      </c>
      <c r="H2088">
        <f t="shared" si="96"/>
        <v>1</v>
      </c>
    </row>
    <row r="2089" spans="1:8" x14ac:dyDescent="0.25">
      <c r="A2089" t="s">
        <v>2385</v>
      </c>
      <c r="B2089" s="1">
        <v>44045</v>
      </c>
      <c r="D2089" s="1">
        <v>44310</v>
      </c>
      <c r="E2089">
        <v>8098.69</v>
      </c>
      <c r="F2089">
        <f t="shared" si="97"/>
        <v>2020</v>
      </c>
      <c r="G2089">
        <f t="shared" si="98"/>
        <v>2021</v>
      </c>
      <c r="H2089">
        <f t="shared" si="96"/>
        <v>1</v>
      </c>
    </row>
    <row r="2090" spans="1:8" x14ac:dyDescent="0.25">
      <c r="A2090" t="s">
        <v>2330</v>
      </c>
      <c r="B2090" s="1">
        <v>45083</v>
      </c>
      <c r="C2090" s="1">
        <v>45157</v>
      </c>
      <c r="D2090" s="1">
        <v>45593</v>
      </c>
      <c r="E2090">
        <v>37089.67</v>
      </c>
      <c r="F2090">
        <f t="shared" si="97"/>
        <v>2023</v>
      </c>
      <c r="G2090">
        <f t="shared" si="98"/>
        <v>2024</v>
      </c>
      <c r="H2090">
        <f t="shared" si="96"/>
        <v>1</v>
      </c>
    </row>
    <row r="2091" spans="1:8" x14ac:dyDescent="0.25">
      <c r="A2091" t="s">
        <v>2400</v>
      </c>
      <c r="B2091" s="1">
        <v>43953</v>
      </c>
      <c r="C2091" s="1">
        <v>43992</v>
      </c>
      <c r="D2091" s="1">
        <v>44097</v>
      </c>
      <c r="E2091">
        <v>45802.84</v>
      </c>
      <c r="F2091">
        <f t="shared" si="97"/>
        <v>2020</v>
      </c>
      <c r="G2091">
        <f t="shared" si="98"/>
        <v>2020</v>
      </c>
      <c r="H2091">
        <f t="shared" si="96"/>
        <v>0</v>
      </c>
    </row>
    <row r="2092" spans="1:8" x14ac:dyDescent="0.25">
      <c r="A2092" t="s">
        <v>2678</v>
      </c>
      <c r="B2092" s="1">
        <v>44911</v>
      </c>
      <c r="C2092" s="1">
        <v>44974</v>
      </c>
      <c r="D2092" s="1">
        <v>44991</v>
      </c>
      <c r="E2092">
        <v>50796.58</v>
      </c>
      <c r="F2092">
        <f t="shared" si="97"/>
        <v>2022</v>
      </c>
      <c r="G2092">
        <f t="shared" si="98"/>
        <v>2023</v>
      </c>
      <c r="H2092">
        <f t="shared" si="96"/>
        <v>1</v>
      </c>
    </row>
    <row r="2093" spans="1:8" x14ac:dyDescent="0.25">
      <c r="A2093" t="s">
        <v>2281</v>
      </c>
      <c r="B2093" s="1">
        <v>43852</v>
      </c>
      <c r="C2093" s="1">
        <v>43900</v>
      </c>
      <c r="D2093" s="1">
        <v>44063</v>
      </c>
      <c r="E2093">
        <v>83672.570000000007</v>
      </c>
      <c r="F2093">
        <f t="shared" si="97"/>
        <v>2020</v>
      </c>
      <c r="G2093">
        <f t="shared" si="98"/>
        <v>2020</v>
      </c>
      <c r="H2093">
        <f t="shared" si="96"/>
        <v>0</v>
      </c>
    </row>
    <row r="2094" spans="1:8" x14ac:dyDescent="0.25">
      <c r="A2094" t="s">
        <v>2918</v>
      </c>
      <c r="B2094" s="1">
        <v>44577</v>
      </c>
      <c r="C2094" s="1">
        <v>44638</v>
      </c>
      <c r="D2094" s="1">
        <v>44690</v>
      </c>
      <c r="E2094">
        <v>-17096.45</v>
      </c>
      <c r="F2094">
        <f t="shared" si="97"/>
        <v>2022</v>
      </c>
      <c r="G2094">
        <f t="shared" si="98"/>
        <v>2022</v>
      </c>
      <c r="H2094">
        <f t="shared" si="96"/>
        <v>0</v>
      </c>
    </row>
    <row r="2095" spans="1:8" x14ac:dyDescent="0.25">
      <c r="A2095" t="s">
        <v>2165</v>
      </c>
      <c r="B2095" s="1">
        <v>44924</v>
      </c>
      <c r="C2095" s="1">
        <v>44956</v>
      </c>
      <c r="D2095" s="1">
        <v>45178</v>
      </c>
      <c r="E2095">
        <v>41297.78</v>
      </c>
      <c r="F2095">
        <f t="shared" si="97"/>
        <v>2022</v>
      </c>
      <c r="G2095">
        <f t="shared" si="98"/>
        <v>2023</v>
      </c>
      <c r="H2095">
        <f t="shared" si="96"/>
        <v>1</v>
      </c>
    </row>
    <row r="2096" spans="1:8" x14ac:dyDescent="0.25">
      <c r="A2096" t="s">
        <v>2145</v>
      </c>
      <c r="B2096" s="1">
        <v>44422</v>
      </c>
      <c r="C2096" s="1">
        <v>44511</v>
      </c>
      <c r="D2096" s="1">
        <v>44688</v>
      </c>
      <c r="E2096">
        <v>78584.399999999994</v>
      </c>
      <c r="F2096">
        <f t="shared" si="97"/>
        <v>2021</v>
      </c>
      <c r="G2096">
        <f t="shared" si="98"/>
        <v>2022</v>
      </c>
      <c r="H2096">
        <f t="shared" si="96"/>
        <v>1</v>
      </c>
    </row>
    <row r="2097" spans="1:8" x14ac:dyDescent="0.25">
      <c r="A2097" t="s">
        <v>2860</v>
      </c>
      <c r="B2097" s="1">
        <v>44683</v>
      </c>
      <c r="C2097" s="1">
        <v>44768</v>
      </c>
      <c r="D2097" s="1">
        <v>44910</v>
      </c>
      <c r="E2097">
        <v>83937.35</v>
      </c>
      <c r="F2097">
        <f t="shared" si="97"/>
        <v>2022</v>
      </c>
      <c r="G2097">
        <f t="shared" si="98"/>
        <v>2022</v>
      </c>
      <c r="H2097">
        <f t="shared" si="96"/>
        <v>0</v>
      </c>
    </row>
    <row r="2098" spans="1:8" x14ac:dyDescent="0.25">
      <c r="A2098" t="s">
        <v>2707</v>
      </c>
      <c r="B2098" s="1">
        <v>44669</v>
      </c>
      <c r="C2098" s="1">
        <v>44747</v>
      </c>
      <c r="D2098" s="1">
        <v>45227</v>
      </c>
      <c r="E2098">
        <v>-22839.16</v>
      </c>
      <c r="F2098">
        <f t="shared" si="97"/>
        <v>2022</v>
      </c>
      <c r="G2098">
        <f t="shared" si="98"/>
        <v>2023</v>
      </c>
      <c r="H2098">
        <f t="shared" si="96"/>
        <v>1</v>
      </c>
    </row>
    <row r="2099" spans="1:8" x14ac:dyDescent="0.25">
      <c r="A2099" t="s">
        <v>2149</v>
      </c>
      <c r="B2099" s="1">
        <v>44566</v>
      </c>
      <c r="D2099" s="1">
        <v>44737</v>
      </c>
      <c r="E2099">
        <v>46261.71</v>
      </c>
      <c r="F2099">
        <f t="shared" si="97"/>
        <v>2022</v>
      </c>
      <c r="G2099">
        <f t="shared" si="98"/>
        <v>2022</v>
      </c>
      <c r="H2099">
        <f t="shared" si="96"/>
        <v>0</v>
      </c>
    </row>
    <row r="2100" spans="1:8" x14ac:dyDescent="0.25">
      <c r="A2100" t="s">
        <v>2168</v>
      </c>
      <c r="B2100" s="1">
        <v>45525</v>
      </c>
      <c r="C2100" s="1">
        <v>45585</v>
      </c>
      <c r="D2100" s="1">
        <v>45790</v>
      </c>
      <c r="E2100">
        <v>47571.96</v>
      </c>
      <c r="F2100">
        <f t="shared" si="97"/>
        <v>2024</v>
      </c>
      <c r="G2100">
        <f t="shared" si="98"/>
        <v>2025</v>
      </c>
      <c r="H2100">
        <f t="shared" si="96"/>
        <v>1</v>
      </c>
    </row>
    <row r="2101" spans="1:8" x14ac:dyDescent="0.25">
      <c r="A2101" t="s">
        <v>2857</v>
      </c>
      <c r="B2101" s="1">
        <v>45426</v>
      </c>
      <c r="C2101" s="1">
        <v>45489</v>
      </c>
      <c r="D2101" s="1">
        <v>45622</v>
      </c>
      <c r="E2101">
        <v>38337.870000000003</v>
      </c>
      <c r="F2101">
        <f t="shared" si="97"/>
        <v>2024</v>
      </c>
      <c r="G2101">
        <f t="shared" si="98"/>
        <v>2024</v>
      </c>
      <c r="H2101">
        <f t="shared" si="96"/>
        <v>0</v>
      </c>
    </row>
    <row r="2102" spans="1:8" x14ac:dyDescent="0.25">
      <c r="A2102" t="s">
        <v>2403</v>
      </c>
      <c r="B2102" s="1">
        <v>43958</v>
      </c>
      <c r="C2102" s="1">
        <v>43982</v>
      </c>
      <c r="D2102" s="1">
        <v>44783</v>
      </c>
      <c r="E2102">
        <v>50602.97</v>
      </c>
      <c r="F2102">
        <f t="shared" si="97"/>
        <v>2020</v>
      </c>
      <c r="G2102">
        <f t="shared" si="98"/>
        <v>2022</v>
      </c>
      <c r="H2102">
        <f t="shared" si="96"/>
        <v>2</v>
      </c>
    </row>
    <row r="2103" spans="1:8" x14ac:dyDescent="0.25">
      <c r="A2103" t="s">
        <v>2609</v>
      </c>
      <c r="B2103" s="1">
        <v>43933</v>
      </c>
      <c r="C2103" s="1">
        <v>44002</v>
      </c>
      <c r="D2103" s="1">
        <v>44363</v>
      </c>
      <c r="E2103">
        <v>14840.83</v>
      </c>
      <c r="F2103">
        <f t="shared" si="97"/>
        <v>2020</v>
      </c>
      <c r="G2103">
        <f t="shared" si="98"/>
        <v>2021</v>
      </c>
      <c r="H2103">
        <f t="shared" si="96"/>
        <v>1</v>
      </c>
    </row>
    <row r="2104" spans="1:8" x14ac:dyDescent="0.25">
      <c r="A2104" t="s">
        <v>2513</v>
      </c>
      <c r="B2104" s="1">
        <v>44953</v>
      </c>
      <c r="C2104" s="1">
        <v>45028</v>
      </c>
      <c r="D2104" s="1">
        <v>45296</v>
      </c>
      <c r="E2104">
        <v>80722.320000000007</v>
      </c>
      <c r="F2104">
        <f t="shared" si="97"/>
        <v>2023</v>
      </c>
      <c r="G2104">
        <f t="shared" si="98"/>
        <v>2024</v>
      </c>
      <c r="H2104">
        <f t="shared" si="96"/>
        <v>1</v>
      </c>
    </row>
    <row r="2105" spans="1:8" x14ac:dyDescent="0.25">
      <c r="A2105" t="s">
        <v>2621</v>
      </c>
      <c r="B2105" s="1">
        <v>44981</v>
      </c>
      <c r="C2105" s="1">
        <v>45067</v>
      </c>
      <c r="D2105" s="1">
        <v>45508</v>
      </c>
      <c r="E2105">
        <v>54518.35</v>
      </c>
      <c r="F2105">
        <f t="shared" si="97"/>
        <v>2023</v>
      </c>
      <c r="G2105">
        <f t="shared" si="98"/>
        <v>2024</v>
      </c>
      <c r="H2105">
        <f t="shared" si="96"/>
        <v>1</v>
      </c>
    </row>
    <row r="2106" spans="1:8" x14ac:dyDescent="0.25">
      <c r="A2106" t="s">
        <v>2747</v>
      </c>
      <c r="B2106" s="1">
        <v>45022</v>
      </c>
      <c r="C2106" s="1">
        <v>45072</v>
      </c>
      <c r="D2106" s="1">
        <v>45210</v>
      </c>
      <c r="E2106">
        <v>35225.22</v>
      </c>
      <c r="F2106">
        <f t="shared" si="97"/>
        <v>2023</v>
      </c>
      <c r="G2106">
        <f t="shared" si="98"/>
        <v>2023</v>
      </c>
      <c r="H2106">
        <f t="shared" si="96"/>
        <v>0</v>
      </c>
    </row>
    <row r="2107" spans="1:8" x14ac:dyDescent="0.25">
      <c r="A2107" t="s">
        <v>2684</v>
      </c>
      <c r="B2107" s="1">
        <v>44319</v>
      </c>
      <c r="C2107" s="1">
        <v>44386</v>
      </c>
      <c r="D2107" s="1">
        <v>44469</v>
      </c>
      <c r="E2107">
        <v>78650.98</v>
      </c>
      <c r="F2107">
        <f t="shared" si="97"/>
        <v>2021</v>
      </c>
      <c r="G2107">
        <f t="shared" si="98"/>
        <v>2021</v>
      </c>
      <c r="H2107">
        <f t="shared" si="96"/>
        <v>0</v>
      </c>
    </row>
    <row r="2108" spans="1:8" x14ac:dyDescent="0.25">
      <c r="A2108" t="s">
        <v>2222</v>
      </c>
      <c r="B2108" s="1">
        <v>43941</v>
      </c>
      <c r="C2108" s="1">
        <v>43942</v>
      </c>
      <c r="D2108" s="1">
        <v>44071</v>
      </c>
      <c r="E2108">
        <v>-15858.6</v>
      </c>
      <c r="F2108">
        <f t="shared" si="97"/>
        <v>2020</v>
      </c>
      <c r="G2108">
        <f t="shared" si="98"/>
        <v>2020</v>
      </c>
      <c r="H2108">
        <f t="shared" si="96"/>
        <v>0</v>
      </c>
    </row>
    <row r="2109" spans="1:8" x14ac:dyDescent="0.25">
      <c r="A2109" t="s">
        <v>2552</v>
      </c>
      <c r="B2109" s="1">
        <v>44797</v>
      </c>
      <c r="C2109" s="1">
        <v>44857</v>
      </c>
      <c r="D2109" s="1">
        <v>45391</v>
      </c>
      <c r="E2109">
        <v>77303.69</v>
      </c>
      <c r="F2109">
        <f t="shared" si="97"/>
        <v>2022</v>
      </c>
      <c r="G2109">
        <f t="shared" si="98"/>
        <v>2024</v>
      </c>
      <c r="H2109">
        <f t="shared" si="96"/>
        <v>2</v>
      </c>
    </row>
    <row r="2110" spans="1:8" x14ac:dyDescent="0.25">
      <c r="A2110" t="s">
        <v>2171</v>
      </c>
      <c r="B2110" s="1">
        <v>43997</v>
      </c>
      <c r="C2110" s="1">
        <v>44082</v>
      </c>
      <c r="D2110" s="1">
        <v>44242</v>
      </c>
      <c r="E2110">
        <v>82665.47</v>
      </c>
      <c r="F2110">
        <f t="shared" si="97"/>
        <v>2020</v>
      </c>
      <c r="G2110">
        <f t="shared" si="98"/>
        <v>2021</v>
      </c>
      <c r="H2110">
        <f t="shared" si="96"/>
        <v>1</v>
      </c>
    </row>
    <row r="2111" spans="1:8" x14ac:dyDescent="0.25">
      <c r="A2111" t="s">
        <v>2919</v>
      </c>
      <c r="B2111" s="1">
        <v>45312</v>
      </c>
      <c r="C2111" s="1">
        <v>45344</v>
      </c>
      <c r="D2111" s="1">
        <v>45483</v>
      </c>
      <c r="E2111">
        <v>13643.45</v>
      </c>
      <c r="F2111">
        <f t="shared" si="97"/>
        <v>2024</v>
      </c>
      <c r="G2111">
        <f t="shared" si="98"/>
        <v>2024</v>
      </c>
      <c r="H2111">
        <f t="shared" si="96"/>
        <v>0</v>
      </c>
    </row>
    <row r="2112" spans="1:8" x14ac:dyDescent="0.25">
      <c r="A2112" t="s">
        <v>2644</v>
      </c>
      <c r="B2112" s="1">
        <v>45646</v>
      </c>
      <c r="C2112" s="1">
        <v>45677</v>
      </c>
      <c r="D2112" s="1">
        <v>45781</v>
      </c>
      <c r="E2112">
        <v>47681.919999999998</v>
      </c>
      <c r="F2112">
        <f t="shared" si="97"/>
        <v>2024</v>
      </c>
      <c r="G2112">
        <f t="shared" si="98"/>
        <v>2025</v>
      </c>
      <c r="H2112">
        <f t="shared" si="96"/>
        <v>1</v>
      </c>
    </row>
    <row r="2113" spans="1:8" x14ac:dyDescent="0.25">
      <c r="A2113" t="s">
        <v>2216</v>
      </c>
      <c r="B2113" s="1">
        <v>44382</v>
      </c>
      <c r="C2113" s="1">
        <v>44411</v>
      </c>
      <c r="D2113" s="1">
        <v>44671</v>
      </c>
      <c r="E2113">
        <v>47872.95</v>
      </c>
      <c r="F2113">
        <f t="shared" si="97"/>
        <v>2021</v>
      </c>
      <c r="G2113">
        <f t="shared" si="98"/>
        <v>2022</v>
      </c>
      <c r="H2113">
        <f t="shared" si="96"/>
        <v>1</v>
      </c>
    </row>
    <row r="2114" spans="1:8" x14ac:dyDescent="0.25">
      <c r="A2114" t="s">
        <v>2240</v>
      </c>
      <c r="B2114" s="1">
        <v>44694</v>
      </c>
      <c r="C2114" s="1">
        <v>44770</v>
      </c>
      <c r="D2114" s="1">
        <v>44959</v>
      </c>
      <c r="E2114">
        <v>53382.98</v>
      </c>
      <c r="F2114">
        <f t="shared" si="97"/>
        <v>2022</v>
      </c>
      <c r="G2114">
        <f t="shared" si="98"/>
        <v>2023</v>
      </c>
      <c r="H2114">
        <f t="shared" ref="H2114:H2136" si="99">MAX(0,G2114-F2114)</f>
        <v>1</v>
      </c>
    </row>
    <row r="2115" spans="1:8" x14ac:dyDescent="0.25">
      <c r="A2115" t="s">
        <v>2586</v>
      </c>
      <c r="B2115" s="1">
        <v>44422</v>
      </c>
      <c r="C2115" s="1">
        <v>44502</v>
      </c>
      <c r="D2115" s="1">
        <v>44949</v>
      </c>
      <c r="E2115">
        <v>52995.25</v>
      </c>
      <c r="F2115">
        <f t="shared" ref="F2115:F2136" si="100">YEAR(B2115)</f>
        <v>2021</v>
      </c>
      <c r="G2115">
        <f t="shared" ref="G2115:G2136" si="101">YEAR(D2115)</f>
        <v>2023</v>
      </c>
      <c r="H2115">
        <f t="shared" si="99"/>
        <v>2</v>
      </c>
    </row>
    <row r="2116" spans="1:8" x14ac:dyDescent="0.25">
      <c r="A2116" t="s">
        <v>2459</v>
      </c>
      <c r="B2116" s="1">
        <v>45232</v>
      </c>
      <c r="C2116" s="1">
        <v>45262</v>
      </c>
      <c r="D2116" s="1">
        <v>45323</v>
      </c>
      <c r="E2116">
        <v>-4230.82</v>
      </c>
      <c r="F2116">
        <f t="shared" si="100"/>
        <v>2023</v>
      </c>
      <c r="G2116">
        <f t="shared" si="101"/>
        <v>2024</v>
      </c>
      <c r="H2116">
        <f t="shared" si="99"/>
        <v>1</v>
      </c>
    </row>
    <row r="2117" spans="1:8" x14ac:dyDescent="0.25">
      <c r="A2117" t="s">
        <v>2818</v>
      </c>
      <c r="B2117" s="1">
        <v>45269</v>
      </c>
      <c r="C2117" s="1">
        <v>45310</v>
      </c>
      <c r="D2117" s="1">
        <v>45650</v>
      </c>
      <c r="E2117">
        <v>25198.1</v>
      </c>
      <c r="F2117">
        <f t="shared" si="100"/>
        <v>2023</v>
      </c>
      <c r="G2117">
        <f t="shared" si="101"/>
        <v>2024</v>
      </c>
      <c r="H2117">
        <f t="shared" si="99"/>
        <v>1</v>
      </c>
    </row>
    <row r="2118" spans="1:8" x14ac:dyDescent="0.25">
      <c r="A2118" t="s">
        <v>2714</v>
      </c>
      <c r="B2118" s="1">
        <v>45498</v>
      </c>
      <c r="C2118" s="1">
        <v>45549</v>
      </c>
      <c r="D2118" s="1">
        <v>45755</v>
      </c>
      <c r="E2118">
        <v>-19266.72</v>
      </c>
      <c r="F2118">
        <f t="shared" si="100"/>
        <v>2024</v>
      </c>
      <c r="G2118">
        <f t="shared" si="101"/>
        <v>2025</v>
      </c>
      <c r="H2118">
        <f t="shared" si="99"/>
        <v>1</v>
      </c>
    </row>
    <row r="2119" spans="1:8" x14ac:dyDescent="0.25">
      <c r="A2119" t="s">
        <v>2556</v>
      </c>
      <c r="B2119" s="1">
        <v>45090</v>
      </c>
      <c r="C2119" s="1">
        <v>45156</v>
      </c>
      <c r="D2119" s="1">
        <v>45404</v>
      </c>
      <c r="E2119">
        <v>19723.400000000001</v>
      </c>
      <c r="F2119">
        <f t="shared" si="100"/>
        <v>2023</v>
      </c>
      <c r="G2119">
        <f t="shared" si="101"/>
        <v>2024</v>
      </c>
      <c r="H2119">
        <f t="shared" si="99"/>
        <v>1</v>
      </c>
    </row>
    <row r="2120" spans="1:8" x14ac:dyDescent="0.25">
      <c r="A2120" t="s">
        <v>2747</v>
      </c>
      <c r="B2120" s="1">
        <v>45022</v>
      </c>
      <c r="C2120" s="1">
        <v>45072</v>
      </c>
      <c r="D2120" s="1">
        <v>45596</v>
      </c>
      <c r="E2120">
        <v>54045.89</v>
      </c>
      <c r="F2120">
        <f t="shared" si="100"/>
        <v>2023</v>
      </c>
      <c r="G2120">
        <f t="shared" si="101"/>
        <v>2024</v>
      </c>
      <c r="H2120">
        <f t="shared" si="99"/>
        <v>1</v>
      </c>
    </row>
    <row r="2121" spans="1:8" x14ac:dyDescent="0.25">
      <c r="A2121" t="s">
        <v>2725</v>
      </c>
      <c r="B2121" s="1">
        <v>45541</v>
      </c>
      <c r="C2121" s="1">
        <v>45545</v>
      </c>
      <c r="D2121" s="1">
        <v>45749</v>
      </c>
      <c r="E2121">
        <v>65165.32</v>
      </c>
      <c r="F2121">
        <f t="shared" si="100"/>
        <v>2024</v>
      </c>
      <c r="G2121">
        <f t="shared" si="101"/>
        <v>2025</v>
      </c>
      <c r="H2121">
        <f t="shared" si="99"/>
        <v>1</v>
      </c>
    </row>
    <row r="2122" spans="1:8" x14ac:dyDescent="0.25">
      <c r="A2122" t="s">
        <v>2861</v>
      </c>
      <c r="B2122" s="1">
        <v>44743</v>
      </c>
      <c r="C2122" s="1">
        <v>44747</v>
      </c>
      <c r="D2122" s="1">
        <v>44818</v>
      </c>
      <c r="E2122">
        <v>-10464.799999999999</v>
      </c>
      <c r="F2122">
        <f t="shared" si="100"/>
        <v>2022</v>
      </c>
      <c r="G2122">
        <f t="shared" si="101"/>
        <v>2022</v>
      </c>
      <c r="H2122">
        <f t="shared" si="99"/>
        <v>0</v>
      </c>
    </row>
    <row r="2123" spans="1:8" x14ac:dyDescent="0.25">
      <c r="A2123" t="s">
        <v>2920</v>
      </c>
      <c r="B2123" s="1">
        <v>43973</v>
      </c>
      <c r="C2123" s="1">
        <v>43996</v>
      </c>
      <c r="D2123" s="1">
        <v>44123</v>
      </c>
      <c r="E2123">
        <v>67431.839999999997</v>
      </c>
      <c r="F2123">
        <f t="shared" si="100"/>
        <v>2020</v>
      </c>
      <c r="G2123">
        <f t="shared" si="101"/>
        <v>2020</v>
      </c>
      <c r="H2123">
        <f t="shared" si="99"/>
        <v>0</v>
      </c>
    </row>
    <row r="2124" spans="1:8" x14ac:dyDescent="0.25">
      <c r="A2124" t="s">
        <v>2451</v>
      </c>
      <c r="B2124" s="1">
        <v>44516</v>
      </c>
      <c r="C2124" s="1">
        <v>44553</v>
      </c>
      <c r="D2124" s="1">
        <v>44702</v>
      </c>
      <c r="E2124">
        <v>67379.22</v>
      </c>
      <c r="F2124">
        <f t="shared" si="100"/>
        <v>2021</v>
      </c>
      <c r="G2124">
        <f t="shared" si="101"/>
        <v>2022</v>
      </c>
      <c r="H2124">
        <f t="shared" si="99"/>
        <v>1</v>
      </c>
    </row>
    <row r="2125" spans="1:8" x14ac:dyDescent="0.25">
      <c r="A2125" t="s">
        <v>2433</v>
      </c>
      <c r="B2125" s="1">
        <v>45041</v>
      </c>
      <c r="C2125" s="1">
        <v>45087</v>
      </c>
      <c r="D2125" s="1">
        <v>45642</v>
      </c>
      <c r="E2125">
        <v>83276.14</v>
      </c>
      <c r="F2125">
        <f t="shared" si="100"/>
        <v>2023</v>
      </c>
      <c r="G2125">
        <f t="shared" si="101"/>
        <v>2024</v>
      </c>
      <c r="H2125">
        <f t="shared" si="99"/>
        <v>1</v>
      </c>
    </row>
    <row r="2126" spans="1:8" x14ac:dyDescent="0.25">
      <c r="A2126" t="s">
        <v>2225</v>
      </c>
      <c r="B2126" s="1">
        <v>44040</v>
      </c>
      <c r="C2126" s="1">
        <v>44050</v>
      </c>
      <c r="D2126" s="1">
        <v>44449</v>
      </c>
      <c r="E2126">
        <v>42682.78</v>
      </c>
      <c r="F2126">
        <f t="shared" si="100"/>
        <v>2020</v>
      </c>
      <c r="G2126">
        <f t="shared" si="101"/>
        <v>2021</v>
      </c>
      <c r="H2126">
        <f t="shared" si="99"/>
        <v>1</v>
      </c>
    </row>
    <row r="2127" spans="1:8" x14ac:dyDescent="0.25">
      <c r="A2127" t="s">
        <v>2921</v>
      </c>
      <c r="B2127" s="1">
        <v>45561</v>
      </c>
      <c r="C2127" s="1">
        <v>45633</v>
      </c>
      <c r="D2127" s="1">
        <v>45799</v>
      </c>
      <c r="E2127">
        <v>14480.53</v>
      </c>
      <c r="F2127">
        <f t="shared" si="100"/>
        <v>2024</v>
      </c>
      <c r="G2127">
        <f t="shared" si="101"/>
        <v>2025</v>
      </c>
      <c r="H2127">
        <f t="shared" si="99"/>
        <v>1</v>
      </c>
    </row>
    <row r="2128" spans="1:8" x14ac:dyDescent="0.25">
      <c r="A2128" t="s">
        <v>2922</v>
      </c>
      <c r="B2128" s="1">
        <v>45620</v>
      </c>
      <c r="C2128" s="1">
        <v>45636</v>
      </c>
      <c r="D2128" s="1">
        <v>45800</v>
      </c>
      <c r="E2128">
        <v>36873.82</v>
      </c>
      <c r="F2128">
        <f t="shared" si="100"/>
        <v>2024</v>
      </c>
      <c r="G2128">
        <f t="shared" si="101"/>
        <v>2025</v>
      </c>
      <c r="H2128">
        <f t="shared" si="99"/>
        <v>1</v>
      </c>
    </row>
    <row r="2129" spans="1:8" x14ac:dyDescent="0.25">
      <c r="A2129" t="s">
        <v>2712</v>
      </c>
      <c r="B2129" s="1">
        <v>44894</v>
      </c>
      <c r="C2129" s="1">
        <v>44930</v>
      </c>
      <c r="D2129" s="1">
        <v>45347</v>
      </c>
      <c r="E2129">
        <v>81151.53</v>
      </c>
      <c r="F2129">
        <f t="shared" si="100"/>
        <v>2022</v>
      </c>
      <c r="G2129">
        <f t="shared" si="101"/>
        <v>2024</v>
      </c>
      <c r="H2129">
        <f t="shared" si="99"/>
        <v>2</v>
      </c>
    </row>
    <row r="2130" spans="1:8" x14ac:dyDescent="0.25">
      <c r="A2130" t="s">
        <v>2235</v>
      </c>
      <c r="B2130" s="1">
        <v>43854</v>
      </c>
      <c r="C2130" s="1">
        <v>43896</v>
      </c>
      <c r="D2130" s="1">
        <v>44052</v>
      </c>
      <c r="E2130">
        <v>40305.29</v>
      </c>
      <c r="F2130">
        <f t="shared" si="100"/>
        <v>2020</v>
      </c>
      <c r="G2130">
        <f t="shared" si="101"/>
        <v>2020</v>
      </c>
      <c r="H2130">
        <f t="shared" si="99"/>
        <v>0</v>
      </c>
    </row>
    <row r="2131" spans="1:8" x14ac:dyDescent="0.25">
      <c r="A2131" t="s">
        <v>2811</v>
      </c>
      <c r="B2131" s="1">
        <v>44064</v>
      </c>
      <c r="C2131" s="1">
        <v>44105</v>
      </c>
      <c r="D2131" s="1">
        <v>44222</v>
      </c>
      <c r="E2131">
        <v>74649.41</v>
      </c>
      <c r="F2131">
        <f t="shared" si="100"/>
        <v>2020</v>
      </c>
      <c r="G2131">
        <f t="shared" si="101"/>
        <v>2021</v>
      </c>
      <c r="H2131">
        <f t="shared" si="99"/>
        <v>1</v>
      </c>
    </row>
    <row r="2132" spans="1:8" x14ac:dyDescent="0.25">
      <c r="A2132" t="s">
        <v>2763</v>
      </c>
      <c r="B2132" s="1">
        <v>44165</v>
      </c>
      <c r="C2132" s="1">
        <v>44204</v>
      </c>
      <c r="D2132" s="1">
        <v>44424</v>
      </c>
      <c r="E2132">
        <v>44137.54</v>
      </c>
      <c r="F2132">
        <f t="shared" si="100"/>
        <v>2020</v>
      </c>
      <c r="G2132">
        <f t="shared" si="101"/>
        <v>2021</v>
      </c>
      <c r="H2132">
        <f t="shared" si="99"/>
        <v>1</v>
      </c>
    </row>
    <row r="2133" spans="1:8" x14ac:dyDescent="0.25">
      <c r="A2133" t="s">
        <v>2365</v>
      </c>
      <c r="B2133" s="1">
        <v>44376</v>
      </c>
      <c r="C2133" s="1">
        <v>44398</v>
      </c>
      <c r="D2133" s="1">
        <v>44931</v>
      </c>
      <c r="E2133">
        <v>45111.42</v>
      </c>
      <c r="F2133">
        <f t="shared" si="100"/>
        <v>2021</v>
      </c>
      <c r="G2133">
        <f t="shared" si="101"/>
        <v>2023</v>
      </c>
      <c r="H2133">
        <f t="shared" si="99"/>
        <v>2</v>
      </c>
    </row>
    <row r="2134" spans="1:8" x14ac:dyDescent="0.25">
      <c r="A2134" t="s">
        <v>2271</v>
      </c>
      <c r="B2134" s="1">
        <v>44715</v>
      </c>
      <c r="C2134" s="1">
        <v>44801</v>
      </c>
      <c r="D2134" s="1">
        <v>44997</v>
      </c>
      <c r="E2134">
        <v>54571.57</v>
      </c>
      <c r="F2134">
        <f t="shared" si="100"/>
        <v>2022</v>
      </c>
      <c r="G2134">
        <f t="shared" si="101"/>
        <v>2023</v>
      </c>
      <c r="H2134">
        <f t="shared" si="99"/>
        <v>1</v>
      </c>
    </row>
    <row r="2135" spans="1:8" x14ac:dyDescent="0.25">
      <c r="A2135" t="s">
        <v>2310</v>
      </c>
      <c r="B2135" s="1">
        <v>45216</v>
      </c>
      <c r="C2135" s="1">
        <v>45277</v>
      </c>
      <c r="D2135" s="1">
        <v>45601</v>
      </c>
      <c r="E2135">
        <v>-17119.03</v>
      </c>
      <c r="F2135">
        <f t="shared" si="100"/>
        <v>2023</v>
      </c>
      <c r="G2135">
        <f t="shared" si="101"/>
        <v>2024</v>
      </c>
      <c r="H2135">
        <f t="shared" si="99"/>
        <v>1</v>
      </c>
    </row>
    <row r="2136" spans="1:8" x14ac:dyDescent="0.25">
      <c r="A2136" t="s">
        <v>2715</v>
      </c>
      <c r="B2136" s="1">
        <v>45434</v>
      </c>
      <c r="C2136" s="1">
        <v>45443</v>
      </c>
      <c r="D2136" s="1">
        <v>45497</v>
      </c>
      <c r="E2136">
        <v>78289.72</v>
      </c>
      <c r="F2136">
        <f t="shared" si="100"/>
        <v>2024</v>
      </c>
      <c r="G2136">
        <f t="shared" si="101"/>
        <v>2024</v>
      </c>
      <c r="H2136">
        <f t="shared" si="99"/>
        <v>0</v>
      </c>
    </row>
  </sheetData>
  <autoFilter ref="H1:H2141" xr:uid="{D6DA7490-DB8E-414E-8544-012DE6CC681B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C210-1A7A-41DF-8E9B-71E481BFA785}">
  <dimension ref="A1:H64"/>
  <sheetViews>
    <sheetView topLeftCell="A44" workbookViewId="0">
      <selection activeCell="H48" sqref="H48"/>
    </sheetView>
  </sheetViews>
  <sheetFormatPr defaultRowHeight="15" x14ac:dyDescent="0.25"/>
  <cols>
    <col min="1" max="1" width="26.7109375" customWidth="1"/>
    <col min="2" max="2" width="17.42578125" customWidth="1"/>
    <col min="3" max="3" width="12" bestFit="1" customWidth="1"/>
    <col min="4" max="4" width="11" bestFit="1" customWidth="1"/>
    <col min="5" max="5" width="10.5703125" customWidth="1"/>
    <col min="6" max="6" width="12" bestFit="1" customWidth="1"/>
    <col min="8" max="8" width="75.140625" customWidth="1"/>
  </cols>
  <sheetData>
    <row r="1" spans="1:8" ht="24" x14ac:dyDescent="0.4">
      <c r="A1" s="21" t="s">
        <v>2934</v>
      </c>
      <c r="H1" s="7" t="s">
        <v>2936</v>
      </c>
    </row>
    <row r="2" spans="1:8" ht="18.75" x14ac:dyDescent="0.3">
      <c r="H2" s="7"/>
    </row>
    <row r="4" spans="1:8" ht="18.75" x14ac:dyDescent="0.3">
      <c r="A4" s="22" t="s">
        <v>2935</v>
      </c>
    </row>
    <row r="5" spans="1:8" ht="15" customHeight="1" x14ac:dyDescent="0.3">
      <c r="H5" s="7"/>
    </row>
    <row r="6" spans="1:8" x14ac:dyDescent="0.25">
      <c r="A6" s="3" t="s">
        <v>2937</v>
      </c>
      <c r="B6" s="3" t="s">
        <v>2938</v>
      </c>
      <c r="H6" s="20" t="s">
        <v>2952</v>
      </c>
    </row>
    <row r="7" spans="1:8" x14ac:dyDescent="0.25">
      <c r="A7" s="3" t="s">
        <v>2939</v>
      </c>
      <c r="B7">
        <v>0</v>
      </c>
      <c r="C7">
        <v>1</v>
      </c>
      <c r="D7">
        <v>2</v>
      </c>
      <c r="E7">
        <v>3</v>
      </c>
      <c r="F7" t="s">
        <v>2940</v>
      </c>
      <c r="H7" s="20" t="s">
        <v>2953</v>
      </c>
    </row>
    <row r="8" spans="1:8" x14ac:dyDescent="0.25">
      <c r="A8" s="4">
        <v>2020</v>
      </c>
      <c r="B8">
        <v>5778547.3199999984</v>
      </c>
      <c r="C8">
        <v>9221776.2099999934</v>
      </c>
      <c r="D8">
        <v>1501502.41</v>
      </c>
      <c r="E8">
        <v>62790.14</v>
      </c>
      <c r="F8">
        <v>16564616.079999993</v>
      </c>
      <c r="H8" s="20" t="s">
        <v>2947</v>
      </c>
    </row>
    <row r="9" spans="1:8" x14ac:dyDescent="0.25">
      <c r="A9" s="4">
        <v>2021</v>
      </c>
      <c r="B9">
        <v>9766697.2200000025</v>
      </c>
      <c r="C9">
        <v>9583077.7899999954</v>
      </c>
      <c r="D9">
        <v>1568905.2600000002</v>
      </c>
      <c r="F9">
        <v>20918680.27</v>
      </c>
      <c r="H9" s="20" t="s">
        <v>2945</v>
      </c>
    </row>
    <row r="10" spans="1:8" x14ac:dyDescent="0.25">
      <c r="A10" s="4">
        <v>2022</v>
      </c>
      <c r="B10">
        <v>7774024.2299999995</v>
      </c>
      <c r="C10">
        <v>8070105.5300000021</v>
      </c>
      <c r="D10">
        <v>1801688.9500000002</v>
      </c>
      <c r="F10">
        <v>17645818.710000001</v>
      </c>
    </row>
    <row r="11" spans="1:8" x14ac:dyDescent="0.25">
      <c r="A11" s="4">
        <v>2023</v>
      </c>
      <c r="B11">
        <v>5180770.5499999989</v>
      </c>
      <c r="C11">
        <v>10100110.869999995</v>
      </c>
      <c r="D11">
        <v>1357308.77</v>
      </c>
      <c r="F11">
        <v>16638190.189999994</v>
      </c>
    </row>
    <row r="12" spans="1:8" x14ac:dyDescent="0.25">
      <c r="A12" s="4">
        <v>2024</v>
      </c>
      <c r="B12">
        <v>4632060.6100000003</v>
      </c>
      <c r="C12">
        <v>7887554.3599999994</v>
      </c>
      <c r="F12">
        <v>12519614.969999999</v>
      </c>
    </row>
    <row r="13" spans="1:8" x14ac:dyDescent="0.25">
      <c r="A13" s="4" t="s">
        <v>2940</v>
      </c>
      <c r="B13">
        <v>33132099.93</v>
      </c>
      <c r="C13">
        <v>44862624.759999983</v>
      </c>
      <c r="D13">
        <v>6229405.3900000006</v>
      </c>
      <c r="E13">
        <v>62790.14</v>
      </c>
      <c r="F13">
        <v>84286920.219999984</v>
      </c>
    </row>
    <row r="16" spans="1:8" ht="18.75" x14ac:dyDescent="0.3">
      <c r="A16" s="22" t="s">
        <v>2933</v>
      </c>
      <c r="F16" s="20"/>
    </row>
    <row r="17" spans="1:8" x14ac:dyDescent="0.25">
      <c r="B17" s="8"/>
    </row>
    <row r="18" spans="1:8" x14ac:dyDescent="0.25">
      <c r="A18" s="11"/>
      <c r="B18" s="15" t="s">
        <v>2925</v>
      </c>
      <c r="C18" s="8"/>
      <c r="D18" s="8"/>
      <c r="E18" s="8"/>
      <c r="H18" s="20"/>
    </row>
    <row r="19" spans="1:8" ht="16.5" customHeight="1" x14ac:dyDescent="0.25">
      <c r="A19" s="15" t="s">
        <v>2923</v>
      </c>
      <c r="B19" s="12">
        <v>0</v>
      </c>
      <c r="C19" s="13">
        <v>1</v>
      </c>
      <c r="D19" s="13">
        <v>2</v>
      </c>
      <c r="E19" s="14">
        <v>3</v>
      </c>
      <c r="H19" s="20" t="s">
        <v>2954</v>
      </c>
    </row>
    <row r="20" spans="1:8" x14ac:dyDescent="0.25">
      <c r="A20" s="9">
        <v>2020</v>
      </c>
      <c r="B20">
        <v>5778547.3199999984</v>
      </c>
      <c r="C20">
        <v>9221776.2099999934</v>
      </c>
      <c r="D20">
        <v>1501502.41</v>
      </c>
      <c r="E20" s="9">
        <v>62790.14</v>
      </c>
      <c r="H20" s="20" t="s">
        <v>2967</v>
      </c>
    </row>
    <row r="21" spans="1:8" x14ac:dyDescent="0.25">
      <c r="A21" s="9">
        <v>2021</v>
      </c>
      <c r="B21">
        <v>9766697.2200000025</v>
      </c>
      <c r="C21">
        <v>9583077.7899999954</v>
      </c>
      <c r="D21">
        <v>1568905.2600000002</v>
      </c>
      <c r="E21" s="9"/>
    </row>
    <row r="22" spans="1:8" x14ac:dyDescent="0.25">
      <c r="A22" s="9">
        <v>2022</v>
      </c>
      <c r="B22">
        <v>7774024.2299999995</v>
      </c>
      <c r="C22">
        <v>8070105.5300000021</v>
      </c>
      <c r="D22">
        <v>1801688.9500000002</v>
      </c>
      <c r="E22" s="9"/>
    </row>
    <row r="23" spans="1:8" x14ac:dyDescent="0.25">
      <c r="A23" s="9">
        <v>2023</v>
      </c>
      <c r="B23">
        <v>5180770.5499999989</v>
      </c>
      <c r="C23">
        <v>10100110.869999995</v>
      </c>
      <c r="D23">
        <v>1357308.77</v>
      </c>
      <c r="E23" s="9"/>
    </row>
    <row r="24" spans="1:8" x14ac:dyDescent="0.25">
      <c r="A24" s="11">
        <v>2024</v>
      </c>
      <c r="B24" s="10">
        <v>4632060.6100000003</v>
      </c>
      <c r="C24" s="8">
        <v>7887554.3599999994</v>
      </c>
      <c r="D24" s="8"/>
      <c r="E24" s="11"/>
    </row>
    <row r="27" spans="1:8" ht="18.75" x14ac:dyDescent="0.3">
      <c r="A27" s="22" t="s">
        <v>2941</v>
      </c>
    </row>
    <row r="28" spans="1:8" x14ac:dyDescent="0.25">
      <c r="B28" s="8"/>
    </row>
    <row r="29" spans="1:8" x14ac:dyDescent="0.25">
      <c r="A29" s="17"/>
      <c r="B29" s="15" t="s">
        <v>2925</v>
      </c>
      <c r="C29" s="8"/>
      <c r="D29" s="8"/>
      <c r="E29" s="8"/>
      <c r="H29" s="20" t="s">
        <v>2968</v>
      </c>
    </row>
    <row r="30" spans="1:8" x14ac:dyDescent="0.25">
      <c r="A30" s="15" t="s">
        <v>2923</v>
      </c>
      <c r="B30" s="12">
        <v>0</v>
      </c>
      <c r="C30" s="13">
        <v>1</v>
      </c>
      <c r="D30" s="13">
        <v>2</v>
      </c>
      <c r="E30" s="14">
        <v>3</v>
      </c>
      <c r="H30" s="20" t="s">
        <v>2969</v>
      </c>
    </row>
    <row r="31" spans="1:8" x14ac:dyDescent="0.25">
      <c r="A31">
        <v>2020</v>
      </c>
      <c r="B31" s="16">
        <f>B20</f>
        <v>5778547.3199999984</v>
      </c>
      <c r="C31">
        <f>B20+C20</f>
        <v>15000323.529999992</v>
      </c>
      <c r="D31">
        <f>C31+D20</f>
        <v>16501825.939999992</v>
      </c>
      <c r="E31" s="9">
        <f>E20+D31</f>
        <v>16564616.079999993</v>
      </c>
    </row>
    <row r="32" spans="1:8" x14ac:dyDescent="0.25">
      <c r="A32">
        <v>2021</v>
      </c>
      <c r="B32" s="16">
        <f>B21</f>
        <v>9766697.2200000025</v>
      </c>
      <c r="C32">
        <f>B21+C21</f>
        <v>19349775.009999998</v>
      </c>
      <c r="D32">
        <f>C32+D21</f>
        <v>20918680.27</v>
      </c>
      <c r="E32" s="9"/>
    </row>
    <row r="33" spans="1:8" x14ac:dyDescent="0.25">
      <c r="A33">
        <v>2022</v>
      </c>
      <c r="B33" s="16">
        <f>B22</f>
        <v>7774024.2299999995</v>
      </c>
      <c r="C33">
        <f>B22+C22</f>
        <v>15844129.760000002</v>
      </c>
      <c r="D33">
        <f>C33+D22</f>
        <v>17645818.710000001</v>
      </c>
      <c r="E33" s="9"/>
    </row>
    <row r="34" spans="1:8" x14ac:dyDescent="0.25">
      <c r="A34">
        <v>2023</v>
      </c>
      <c r="B34" s="16">
        <f>B23</f>
        <v>5180770.5499999989</v>
      </c>
      <c r="C34">
        <f>B23+C23</f>
        <v>15280881.419999994</v>
      </c>
      <c r="D34">
        <f>C34+D23</f>
        <v>16638190.189999994</v>
      </c>
      <c r="E34" s="9"/>
    </row>
    <row r="35" spans="1:8" x14ac:dyDescent="0.25">
      <c r="A35" s="11">
        <v>2024</v>
      </c>
      <c r="B35" s="10">
        <f>B24</f>
        <v>4632060.6100000003</v>
      </c>
      <c r="C35" s="8">
        <f>B24+C24</f>
        <v>12519614.969999999</v>
      </c>
      <c r="D35" s="8"/>
      <c r="E35" s="11"/>
    </row>
    <row r="37" spans="1:8" ht="15.75" x14ac:dyDescent="0.25">
      <c r="A37" s="5"/>
    </row>
    <row r="39" spans="1:8" ht="18.75" x14ac:dyDescent="0.3">
      <c r="A39" s="6"/>
    </row>
    <row r="40" spans="1:8" ht="18.75" x14ac:dyDescent="0.3">
      <c r="A40" s="22" t="s">
        <v>2926</v>
      </c>
    </row>
    <row r="42" spans="1:8" x14ac:dyDescent="0.25">
      <c r="A42" s="15" t="s">
        <v>2927</v>
      </c>
      <c r="B42" s="18"/>
      <c r="H42" s="20" t="s">
        <v>2955</v>
      </c>
    </row>
    <row r="43" spans="1:8" x14ac:dyDescent="0.25">
      <c r="A43" s="25" t="s">
        <v>2928</v>
      </c>
      <c r="B43" s="9">
        <f>SUM(D31:D34)/SUM(C31:C34)</f>
        <v>1.0951415800086419</v>
      </c>
      <c r="H43" s="20" t="s">
        <v>2956</v>
      </c>
    </row>
    <row r="44" spans="1:8" x14ac:dyDescent="0.25">
      <c r="A44" s="24" t="s">
        <v>2929</v>
      </c>
      <c r="B44" s="11">
        <f>E31/D31</f>
        <v>1.0038050419528302</v>
      </c>
    </row>
    <row r="45" spans="1:8" x14ac:dyDescent="0.25">
      <c r="A45" s="2"/>
      <c r="E45" s="8"/>
    </row>
    <row r="47" spans="1:8" ht="18.75" x14ac:dyDescent="0.3">
      <c r="A47" s="22" t="s">
        <v>2941</v>
      </c>
    </row>
    <row r="49" spans="1:8" x14ac:dyDescent="0.25">
      <c r="A49" s="8"/>
      <c r="B49" s="15" t="s">
        <v>2930</v>
      </c>
      <c r="C49" s="10"/>
      <c r="D49" s="8"/>
      <c r="E49" s="8"/>
    </row>
    <row r="50" spans="1:8" x14ac:dyDescent="0.25">
      <c r="A50" s="15" t="s">
        <v>2931</v>
      </c>
      <c r="B50" s="12">
        <f>B30</f>
        <v>0</v>
      </c>
      <c r="C50" s="13">
        <f t="shared" ref="C50:E51" si="0">C30</f>
        <v>1</v>
      </c>
      <c r="D50" s="13">
        <f t="shared" si="0"/>
        <v>2</v>
      </c>
      <c r="E50" s="14">
        <f t="shared" si="0"/>
        <v>3</v>
      </c>
      <c r="H50" s="20" t="s">
        <v>2946</v>
      </c>
    </row>
    <row r="51" spans="1:8" x14ac:dyDescent="0.25">
      <c r="A51">
        <f>A31</f>
        <v>2020</v>
      </c>
      <c r="B51" s="16">
        <f>B31</f>
        <v>5778547.3199999984</v>
      </c>
      <c r="C51">
        <f t="shared" ref="C51:D51" si="1">C31</f>
        <v>15000323.529999992</v>
      </c>
      <c r="D51">
        <f t="shared" si="1"/>
        <v>16501825.939999992</v>
      </c>
      <c r="E51" s="9">
        <f t="shared" si="0"/>
        <v>16564616.079999993</v>
      </c>
      <c r="H51" s="20" t="s">
        <v>2971</v>
      </c>
    </row>
    <row r="52" spans="1:8" x14ac:dyDescent="0.25">
      <c r="A52">
        <f t="shared" ref="A52:D54" si="2">A32</f>
        <v>2021</v>
      </c>
      <c r="B52" s="16">
        <f t="shared" si="2"/>
        <v>9766697.2200000025</v>
      </c>
      <c r="C52">
        <f t="shared" si="2"/>
        <v>19349775.009999998</v>
      </c>
      <c r="D52">
        <f>D32</f>
        <v>20918680.27</v>
      </c>
      <c r="E52" s="19">
        <f>D52*$B$44</f>
        <v>20998276.72602519</v>
      </c>
    </row>
    <row r="53" spans="1:8" x14ac:dyDescent="0.25">
      <c r="A53">
        <f t="shared" si="2"/>
        <v>2022</v>
      </c>
      <c r="B53" s="16">
        <f t="shared" si="2"/>
        <v>7774024.2299999995</v>
      </c>
      <c r="C53">
        <f t="shared" si="2"/>
        <v>15844129.760000002</v>
      </c>
      <c r="D53">
        <f t="shared" si="2"/>
        <v>17645818.710000001</v>
      </c>
      <c r="E53" s="19">
        <f t="shared" ref="E53:E55" si="3">D53*$B$44</f>
        <v>17712961.790483586</v>
      </c>
    </row>
    <row r="54" spans="1:8" x14ac:dyDescent="0.25">
      <c r="A54">
        <f t="shared" si="2"/>
        <v>2023</v>
      </c>
      <c r="B54" s="16">
        <f t="shared" si="2"/>
        <v>5180770.5499999989</v>
      </c>
      <c r="C54">
        <f t="shared" si="2"/>
        <v>15280881.419999994</v>
      </c>
      <c r="D54">
        <f t="shared" si="2"/>
        <v>16638190.189999994</v>
      </c>
      <c r="E54" s="19">
        <f t="shared" si="3"/>
        <v>16701499.201692112</v>
      </c>
    </row>
    <row r="55" spans="1:8" x14ac:dyDescent="0.25">
      <c r="A55" s="11">
        <f>A35</f>
        <v>2024</v>
      </c>
      <c r="B55" s="10">
        <f t="shared" ref="B55:C55" si="4">B35</f>
        <v>4632060.6100000003</v>
      </c>
      <c r="C55" s="8">
        <f t="shared" si="4"/>
        <v>12519614.969999999</v>
      </c>
      <c r="D55" s="27">
        <f>C55*B43</f>
        <v>13710750.919345645</v>
      </c>
      <c r="E55" s="26">
        <f t="shared" si="3"/>
        <v>13762920.901798559</v>
      </c>
    </row>
    <row r="58" spans="1:8" ht="15.75" x14ac:dyDescent="0.25">
      <c r="A58" s="23" t="s">
        <v>2932</v>
      </c>
      <c r="B58">
        <f>(E55-C55)+(E54-D54)+(E53-D53)+(E52-D52)</f>
        <v>1453354.4799994547</v>
      </c>
      <c r="H58" s="20" t="s">
        <v>2948</v>
      </c>
    </row>
    <row r="59" spans="1:8" x14ac:dyDescent="0.25">
      <c r="H59" s="20" t="s">
        <v>2949</v>
      </c>
    </row>
    <row r="60" spans="1:8" x14ac:dyDescent="0.25">
      <c r="H60" s="20" t="s">
        <v>2950</v>
      </c>
    </row>
    <row r="62" spans="1:8" x14ac:dyDescent="0.25">
      <c r="H62" s="20" t="s">
        <v>2970</v>
      </c>
    </row>
    <row r="63" spans="1:8" x14ac:dyDescent="0.25">
      <c r="H63" s="20" t="s">
        <v>2972</v>
      </c>
    </row>
    <row r="64" spans="1:8" x14ac:dyDescent="0.25">
      <c r="H64" s="20" t="s">
        <v>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Actuarial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redeemtkadere@gmail.com</cp:lastModifiedBy>
  <dcterms:created xsi:type="dcterms:W3CDTF">2025-10-07T11:05:39Z</dcterms:created>
  <dcterms:modified xsi:type="dcterms:W3CDTF">2026-04-25T02:26:18Z</dcterms:modified>
</cp:coreProperties>
</file>